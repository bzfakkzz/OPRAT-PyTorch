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学习\DL\组会\组会7\"/>
    </mc:Choice>
  </mc:AlternateContent>
  <xr:revisionPtr revIDLastSave="0" documentId="13_ncr:1_{9A6DCFDF-2E67-4640-AA38-B2D6914EF476}" xr6:coauthVersionLast="47" xr6:coauthVersionMax="47" xr10:uidLastSave="{00000000-0000-0000-0000-000000000000}"/>
  <bookViews>
    <workbookView xWindow="-98" yWindow="-98" windowWidth="23236" windowHeight="13875" firstSheet="5" activeTab="8" xr2:uid="{36A349FB-E64A-4C75-8679-B585DF45C9A8}"/>
  </bookViews>
  <sheets>
    <sheet name="TorchAlexNetCIFAR10" sheetId="2" r:id="rId1"/>
    <sheet name="TorchLeNet5" sheetId="4" r:id="rId2"/>
    <sheet name="TorchVGG16" sheetId="8" r:id="rId3"/>
    <sheet name="TorchLeNet5Fashion" sheetId="10" r:id="rId4"/>
    <sheet name="TorchResNet50" sheetId="7" r:id="rId5"/>
    <sheet name="TorchDenseNet" sheetId="6" r:id="rId6"/>
    <sheet name="TorchXception" sheetId="9" r:id="rId7"/>
    <sheet name="比较" sheetId="12" r:id="rId8"/>
    <sheet name="新建文件夹" sheetId="14" r:id="rId9"/>
  </sheets>
  <definedNames>
    <definedName name="ExternalData_1" localSheetId="0" hidden="1">TorchAlexNetCIFAR10!$A$1:$I$7</definedName>
    <definedName name="ExternalData_1" localSheetId="5" hidden="1">TorchDenseNet!$A$1:$I$7</definedName>
    <definedName name="ExternalData_1" localSheetId="1" hidden="1">TorchLeNet5!$A$1:$I$7</definedName>
    <definedName name="ExternalData_1" localSheetId="3" hidden="1">TorchLeNet5Fashion!$A$1:$I$7</definedName>
    <definedName name="ExternalData_1" localSheetId="4" hidden="1">TorchResNet50!$A$1:$I$7</definedName>
    <definedName name="ExternalData_1" localSheetId="2" hidden="1">TorchVGG16!$A$1:$I$7</definedName>
    <definedName name="ExternalData_1" localSheetId="6" hidden="1">TorchXception!$A$1:$I$7</definedName>
    <definedName name="ExternalData_1" localSheetId="8" hidden="1">新建文件夹!$A$1:$J$43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9" l="1"/>
  <c r="I6" i="9"/>
  <c r="F7" i="9"/>
  <c r="F6" i="9"/>
  <c r="I7" i="6"/>
  <c r="F7" i="6"/>
  <c r="I6" i="6"/>
  <c r="G6" i="6"/>
  <c r="F6" i="6" s="1"/>
  <c r="F3" i="6"/>
  <c r="F4" i="6"/>
  <c r="F5" i="6"/>
  <c r="F2" i="6"/>
  <c r="I3" i="6"/>
  <c r="I4" i="6"/>
  <c r="I5" i="6"/>
  <c r="I2" i="6"/>
  <c r="F2" i="7"/>
  <c r="G2" i="7" s="1"/>
  <c r="H2" i="7" s="1"/>
  <c r="F4" i="7"/>
  <c r="F4" i="9"/>
  <c r="G4" i="9" s="1"/>
  <c r="H4" i="9" s="1"/>
  <c r="I3" i="9"/>
  <c r="I4" i="9"/>
  <c r="I5" i="9"/>
  <c r="I2" i="9"/>
  <c r="F5" i="9"/>
  <c r="F3" i="9"/>
  <c r="F2" i="9"/>
  <c r="F5" i="7"/>
  <c r="F3" i="7"/>
  <c r="I4" i="7"/>
  <c r="I5" i="7"/>
  <c r="I2" i="7"/>
  <c r="I3" i="7"/>
  <c r="I7" i="10"/>
  <c r="I6" i="10"/>
  <c r="F7" i="10"/>
  <c r="F6" i="10"/>
  <c r="F5" i="10"/>
  <c r="F4" i="10"/>
  <c r="F3" i="10"/>
  <c r="F2" i="10"/>
  <c r="I3" i="10"/>
  <c r="I4" i="10"/>
  <c r="I5" i="10"/>
  <c r="I2" i="10"/>
  <c r="I3" i="8"/>
  <c r="I4" i="8"/>
  <c r="I5" i="8"/>
  <c r="I2" i="8"/>
  <c r="F3" i="8"/>
  <c r="F4" i="8"/>
  <c r="F5" i="8"/>
  <c r="F2" i="8"/>
  <c r="F2" i="2"/>
  <c r="H2" i="2"/>
  <c r="I2" i="2"/>
  <c r="F3" i="2"/>
  <c r="H3" i="2"/>
  <c r="I3" i="2"/>
  <c r="F4" i="2"/>
  <c r="H4" i="2"/>
  <c r="I4" i="2"/>
  <c r="F5" i="2"/>
  <c r="H5" i="2"/>
  <c r="I5" i="2"/>
  <c r="F6" i="2"/>
  <c r="H6" i="2"/>
  <c r="I6" i="2"/>
  <c r="F7" i="2"/>
  <c r="H7" i="2"/>
  <c r="I7" i="2"/>
  <c r="H6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3" authorId="0" shapeId="0" xr:uid="{CA267A1B-8706-4E83-86DB-789B7386038B}">
      <text>
        <r>
          <rPr>
            <b/>
            <sz val="9"/>
            <color indexed="81"/>
            <rFont val="宋体"/>
            <family val="3"/>
            <charset val="134"/>
          </rPr>
          <t>xyz:
TorchVGG16有3个最高项，
在这里每个项都算作1/3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8208C5-1278-41D4-9B09-F722F7AC811A}" keepAlive="1" name="查询 - 1" description="与工作簿中“1”查询的连接。" type="5" refreshedVersion="8" background="1" saveData="1">
    <dbPr connection="Provider=Microsoft.Mashup.OleDb.1;Data Source=$Workbook$;Location=1;Extended Properties=&quot;&quot;" command="SELECT * FROM [1]"/>
  </connection>
  <connection id="2" xr16:uid="{29CD960D-0058-49AD-91D8-0A67A16CA5F4}" keepAlive="1" name="查询 - 1 (2)" description="与工作簿中“1 (2)”查询的连接。" type="5" refreshedVersion="8" background="1" saveData="1">
    <dbPr connection="Provider=Microsoft.Mashup.OleDb.1;Data Source=$Workbook$;Location=&quot;1 (2)&quot;;Extended Properties=&quot;&quot;" command="SELECT * FROM [1 (2)]"/>
  </connection>
  <connection id="3" xr16:uid="{978A9168-24F6-4A9D-A7A2-ABF0EC29174D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4" xr16:uid="{125CC6D8-CB0C-4785-B808-D4A13A49A3E9}" keepAlive="1" name="查询 - 触发鲁棒性问题汇总" description="与工作簿中“触发鲁棒性问题汇总”查询的连接。" type="5" refreshedVersion="8" background="1" saveData="1">
    <dbPr connection="Provider=Microsoft.Mashup.OleDb.1;Data Source=$Workbook$;Location=触发鲁棒性问题汇总;Extended Properties=&quot;&quot;" command="SELECT * FROM [触发鲁棒性问题汇总]"/>
  </connection>
  <connection id="5" xr16:uid="{2B0752AA-9BAA-43AB-B5D8-0FEA2D9ECB74}" keepAlive="1" name="查询 - 触发鲁棒性问题汇总 (10)" description="与工作簿中“触发鲁棒性问题汇总 (10)”查询的连接。" type="5" refreshedVersion="8" background="1" saveData="1">
    <dbPr connection="Provider=Microsoft.Mashup.OleDb.1;Data Source=$Workbook$;Location=&quot;触发鲁棒性问题汇总 (10)&quot;;Extended Properties=&quot;&quot;" command="SELECT * FROM [触发鲁棒性问题汇总 (10)]"/>
  </connection>
  <connection id="6" xr16:uid="{111800B5-99D2-4F14-96AD-FB0B90478EA3}" keepAlive="1" name="查询 - 触发鲁棒性问题汇总 (11)" description="与工作簿中“触发鲁棒性问题汇总 (11)”查询的连接。" type="5" refreshedVersion="8" background="1" saveData="1">
    <dbPr connection="Provider=Microsoft.Mashup.OleDb.1;Data Source=$Workbook$;Location=&quot;触发鲁棒性问题汇总 (11)&quot;;Extended Properties=&quot;&quot;" command="SELECT * FROM [触发鲁棒性问题汇总 (11)]"/>
  </connection>
  <connection id="7" xr16:uid="{DB16E8A2-388D-4637-89AD-C9A653A3115D}" keepAlive="1" name="查询 - 触发鲁棒性问题汇总 (12)" description="与工作簿中“触发鲁棒性问题汇总 (12)”查询的连接。" type="5" refreshedVersion="8" background="1" saveData="1">
    <dbPr connection="Provider=Microsoft.Mashup.OleDb.1;Data Source=$Workbook$;Location=&quot;触发鲁棒性问题汇总 (12)&quot;;Extended Properties=&quot;&quot;" command="SELECT * FROM [触发鲁棒性问题汇总 (12)]"/>
  </connection>
  <connection id="8" xr16:uid="{84CA8ADF-6315-4638-A1E8-C1C68653149A}" keepAlive="1" name="查询 - 触发鲁棒性问题汇总 (2)" description="与工作簿中“触发鲁棒性问题汇总 (2)”查询的连接。" type="5" refreshedVersion="8" background="1" saveData="1">
    <dbPr connection="Provider=Microsoft.Mashup.OleDb.1;Data Source=$Workbook$;Location=&quot;触发鲁棒性问题汇总 (2)&quot;;Extended Properties=&quot;&quot;" command="SELECT * FROM [触发鲁棒性问题汇总 (2)]"/>
  </connection>
  <connection id="9" xr16:uid="{0E84ECAF-967A-44EA-8849-34F101437042}" keepAlive="1" name="查询 - 触发鲁棒性问题汇总 (3)" description="与工作簿中“触发鲁棒性问题汇总 (3)”查询的连接。" type="5" refreshedVersion="8" background="1" saveData="1">
    <dbPr connection="Provider=Microsoft.Mashup.OleDb.1;Data Source=$Workbook$;Location=&quot;触发鲁棒性问题汇总 (3)&quot;;Extended Properties=&quot;&quot;" command="SELECT * FROM [触发鲁棒性问题汇总 (3)]"/>
  </connection>
  <connection id="10" xr16:uid="{69510184-058B-4280-A62A-6E7EBD0A03E6}" keepAlive="1" name="查询 - 触发鲁棒性问题汇总 (4)" description="与工作簿中“触发鲁棒性问题汇总 (4)”查询的连接。" type="5" refreshedVersion="8" background="1" saveData="1">
    <dbPr connection="Provider=Microsoft.Mashup.OleDb.1;Data Source=$Workbook$;Location=&quot;触发鲁棒性问题汇总 (4)&quot;;Extended Properties=&quot;&quot;" command="SELECT * FROM [触发鲁棒性问题汇总 (4)]"/>
  </connection>
  <connection id="11" xr16:uid="{80C884E8-E16A-4991-B47B-CCE3BB5FB0A3}" keepAlive="1" name="查询 - 触发鲁棒性问题汇总 (5)" description="与工作簿中“触发鲁棒性问题汇总 (5)”查询的连接。" type="5" refreshedVersion="8" background="1" saveData="1">
    <dbPr connection="Provider=Microsoft.Mashup.OleDb.1;Data Source=$Workbook$;Location=&quot;触发鲁棒性问题汇总 (5)&quot;;Extended Properties=&quot;&quot;" command="SELECT * FROM [触发鲁棒性问题汇总 (5)]"/>
  </connection>
  <connection id="12" xr16:uid="{4A5102E0-30AC-4127-B0FC-41CA211274AE}" keepAlive="1" name="查询 - 触发鲁棒性问题汇总 (6)" description="与工作簿中“触发鲁棒性问题汇总 (6)”查询的连接。" type="5" refreshedVersion="8" background="1" saveData="1">
    <dbPr connection="Provider=Microsoft.Mashup.OleDb.1;Data Source=$Workbook$;Location=&quot;触发鲁棒性问题汇总 (6)&quot;;Extended Properties=&quot;&quot;" command="SELECT * FROM [触发鲁棒性问题汇总 (6)]"/>
  </connection>
  <connection id="13" xr16:uid="{F6CC905E-23BC-44E0-A753-BA447E41B8E6}" keepAlive="1" name="查询 - 触发鲁棒性问题汇总 (7)" description="与工作簿中“触发鲁棒性问题汇总 (7)”查询的连接。" type="5" refreshedVersion="8" background="1" saveData="1">
    <dbPr connection="Provider=Microsoft.Mashup.OleDb.1;Data Source=$Workbook$;Location=&quot;触发鲁棒性问题汇总 (7)&quot;;Extended Properties=&quot;&quot;" command="SELECT * FROM [触发鲁棒性问题汇总 (7)]"/>
  </connection>
  <connection id="14" xr16:uid="{8070A628-7307-455C-B799-600E02088EEC}" keepAlive="1" name="查询 - 触发鲁棒性问题汇总 (8)" description="与工作簿中“触发鲁棒性问题汇总 (8)”查询的连接。" type="5" refreshedVersion="8" background="1" saveData="1">
    <dbPr connection="Provider=Microsoft.Mashup.OleDb.1;Data Source=$Workbook$;Location=&quot;触发鲁棒性问题汇总 (8)&quot;;Extended Properties=&quot;&quot;" command="SELECT * FROM [触发鲁棒性问题汇总 (8)]"/>
  </connection>
  <connection id="15" xr16:uid="{A954D77E-FD0E-4BAD-9EFE-D21168120FA6}" keepAlive="1" name="查询 - 触发鲁棒性问题汇总 (9)" description="与工作簿中“触发鲁棒性问题汇总 (9)”查询的连接。" type="5" refreshedVersion="8" background="1" saveData="1">
    <dbPr connection="Provider=Microsoft.Mashup.OleDb.1;Data Source=$Workbook$;Location=&quot;触发鲁棒性问题汇总 (9)&quot;;Extended Properties=&quot;&quot;" command="SELECT * FROM [触发鲁棒性问题汇总 (9)]"/>
  </connection>
  <connection id="16" xr16:uid="{16CDFC93-2F60-4701-B810-BD1C74984544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17" xr16:uid="{22919E78-1066-4831-9F1B-6CEBF837443F}" keepAlive="1" name="查询 - 新建文件夹" description="与工作簿中“新建文件夹”查询的连接。" type="5" refreshedVersion="8" background="1" saveData="1">
    <dbPr connection="Provider=Microsoft.Mashup.OleDb.1;Data Source=$Workbook$;Location=新建文件夹;Extended Properties=&quot;&quot;" command="SELECT * FROM [新建文件夹]"/>
  </connection>
  <connection id="18" xr16:uid="{8697CE36-AF90-43F8-A410-CDD36152EDB5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9" xr16:uid="{31C2475A-9118-4015-BCAD-C3F808515C24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<sst xmlns="http://schemas.openxmlformats.org/spreadsheetml/2006/main" count="374" uniqueCount="35">
  <si>
    <t>(Precision_Test, Precision_Attack)</t>
  </si>
  <si>
    <t>(Device_Test, Device_Attack)</t>
  </si>
  <si>
    <t>(Compile_Test(fallback_random, epilogue_fusion, shape_padding, dynamic), Compile_Attack(fallback_random, epilogue_fusion, shape_padding, dynamic))</t>
  </si>
  <si>
    <t>Different_to_Same</t>
  </si>
  <si>
    <t>Same_to_Different</t>
  </si>
  <si>
    <t>Label_change</t>
  </si>
  <si>
    <t>all</t>
  </si>
  <si>
    <t>prob</t>
  </si>
  <si>
    <t>Stats_change</t>
  </si>
  <si>
    <t>(fp32,fp32)</t>
  </si>
  <si>
    <t>(cuda:0,cuda:0)</t>
  </si>
  <si>
    <t>(1000,1000)</t>
  </si>
  <si>
    <t>(0100,0100)</t>
  </si>
  <si>
    <t>(0010,0010)</t>
  </si>
  <si>
    <t>(0001,0001)</t>
  </si>
  <si>
    <t>(cpu,cpu)</t>
  </si>
  <si>
    <t>(0000,0000)</t>
  </si>
  <si>
    <t>(fp16,fp16)</t>
  </si>
  <si>
    <t>(Compile_Test(fallback_random, epilogue_fusion, shape_padding, dynamic), Compile_Attack(fallback_random, epilogue_fusion, shape_padding, dynamic))</t>
    <phoneticPr fontId="2" type="noConversion"/>
  </si>
  <si>
    <t>(cuda:0,cuda:0)</t>
    <phoneticPr fontId="2" type="noConversion"/>
  </si>
  <si>
    <t>device</t>
    <phoneticPr fontId="2" type="noConversion"/>
  </si>
  <si>
    <t>数据精度</t>
    <phoneticPr fontId="2" type="noConversion"/>
  </si>
  <si>
    <t>fallback_random</t>
  </si>
  <si>
    <t>epilogue_fusion</t>
    <phoneticPr fontId="2" type="noConversion"/>
  </si>
  <si>
    <t>shape_padding</t>
  </si>
  <si>
    <t>dynamic</t>
  </si>
  <si>
    <t>数目</t>
    <phoneticPr fontId="2" type="noConversion"/>
  </si>
  <si>
    <t>TorchAlexNetCIFAR10</t>
    <phoneticPr fontId="2" type="noConversion"/>
  </si>
  <si>
    <t>TorchDenseNet</t>
    <phoneticPr fontId="2" type="noConversion"/>
  </si>
  <si>
    <t>TorchLeNet5</t>
    <phoneticPr fontId="2" type="noConversion"/>
  </si>
  <si>
    <t>TorchLeNet5Fashion</t>
    <phoneticPr fontId="2" type="noConversion"/>
  </si>
  <si>
    <t>TorchResNet50</t>
    <phoneticPr fontId="2" type="noConversion"/>
  </si>
  <si>
    <t>TorchVGG16</t>
    <phoneticPr fontId="2" type="noConversion"/>
  </si>
  <si>
    <t>TorchXception</t>
    <phoneticPr fontId="2" type="noConversion"/>
  </si>
  <si>
    <t>TorchModel_Name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</si>
</sst>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6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3" fontId="3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6" xfId="0" applyFont="1" applyBorder="1">
      <alignment vertical="center"/>
    </xf>
    <xf numFmtId="0" fontId="3" fillId="0" borderId="1" xfId="0" applyFont="1" applyBorder="1">
      <alignment vertical="center"/>
    </xf>
    <xf numFmtId="0" fontId="1" fillId="0" borderId="4" xfId="0" applyFont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7" xfId="0" applyNumberFormat="1" applyBorder="1">
      <alignment vertical="center"/>
    </xf>
    <xf numFmtId="177" fontId="4" fillId="0" borderId="0" xfId="0" applyNumberFormat="1" applyFont="1">
      <alignment vertical="center"/>
    </xf>
    <xf numFmtId="177" fontId="3" fillId="0" borderId="2" xfId="0" applyNumberFormat="1" applyFont="1" applyBorder="1">
      <alignment vertical="center"/>
    </xf>
    <xf numFmtId="0" fontId="3" fillId="0" borderId="4" xfId="0" applyFont="1" applyBorder="1">
      <alignment vertical="center"/>
    </xf>
    <xf numFmtId="176" fontId="3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357AB4-5A09-425F-BBD0-CFB8E48D0A2E}" autoFormatId="16" applyNumberFormats="0" applyBorderFormats="0" applyFontFormats="0" applyPatternFormats="0" applyAlignmentFormats="0" applyWidthHeightFormats="0">
  <queryTableRefresh nextId="10">
    <queryTableFields count="9">
      <queryTableField id="1" name="(Precision_Test, Precision_Attack)" tableColumnId="1"/>
      <queryTableField id="2" name="(Device_Test, Device_Attack)" tableColumnId="2"/>
      <queryTableField id="3" name="(Compile_Test(fallback_random, epilogue_fusion, shape_padding, dynamic), Compile_Attack(fallback_random, epilogue_fusion, shape_padding, dynamic))" tableColumnId="3"/>
      <queryTableField id="4" name="Different_to_Same" tableColumnId="4"/>
      <queryTableField id="5" name="Same_to_Different" tableColumnId="5"/>
      <queryTableField id="6" name="Label_change" tableColumnId="6"/>
      <queryTableField id="7" name="all" tableColumnId="7"/>
      <queryTableField id="8" name="prob" tableColumnId="8"/>
      <queryTableField id="9" name="Stats_chang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4962B2A-45D2-4396-A527-98F0B28C7F18}" autoFormatId="16" applyNumberFormats="0" applyBorderFormats="0" applyFontFormats="0" applyPatternFormats="0" applyAlignmentFormats="0" applyWidthHeightFormats="0">
  <queryTableRefresh nextId="10">
    <queryTableFields count="9">
      <queryTableField id="1" name="(Precision_Test, Precision_Attack)" tableColumnId="1"/>
      <queryTableField id="2" name="(Device_Test, Device_Attack)" tableColumnId="2"/>
      <queryTableField id="3" name="(Compile_Test(fallback_random, epilogue_fusion, shape_padding, dynamic), Compile_Attack(fallback_random, epilogue_fusion, shape_padding, dynamic))" tableColumnId="3"/>
      <queryTableField id="4" name="Different_to_Same" tableColumnId="4"/>
      <queryTableField id="5" name="Same_to_Different" tableColumnId="5"/>
      <queryTableField id="6" name="Label_change" tableColumnId="6"/>
      <queryTableField id="7" name="all" tableColumnId="7"/>
      <queryTableField id="8" name="prob" tableColumnId="8"/>
      <queryTableField id="9" name="Stats_chang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9A47A3C-B430-48B7-8D5A-D1845D3CF6A1}" autoFormatId="16" applyNumberFormats="0" applyBorderFormats="0" applyFontFormats="0" applyPatternFormats="0" applyAlignmentFormats="0" applyWidthHeightFormats="0">
  <queryTableRefresh nextId="10">
    <queryTableFields count="9">
      <queryTableField id="1" name="(Precision_Test, Precision_Attack)" tableColumnId="1"/>
      <queryTableField id="2" name="(Device_Test, Device_Attack)" tableColumnId="2"/>
      <queryTableField id="3" name="(Compile_Test(fallback_random, epilogue_fusion, shape_padding, dynamic), Compile_Attack(fallback_random, epilogue_fusion, shape_padding, dynamic))" tableColumnId="3"/>
      <queryTableField id="4" name="Different_to_Same" tableColumnId="4"/>
      <queryTableField id="5" name="Same_to_Different" tableColumnId="5"/>
      <queryTableField id="6" name="Label_change" tableColumnId="6"/>
      <queryTableField id="7" name="all" tableColumnId="7"/>
      <queryTableField id="8" name="prob" tableColumnId="8"/>
      <queryTableField id="9" name="Stats_chang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5F385793-343F-4C5F-A71A-232F8B8423CE}" autoFormatId="16" applyNumberFormats="0" applyBorderFormats="0" applyFontFormats="0" applyPatternFormats="0" applyAlignmentFormats="0" applyWidthHeightFormats="0">
  <queryTableRefresh nextId="10">
    <queryTableFields count="9">
      <queryTableField id="1" name="(Precision_Test, Precision_Attack)" tableColumnId="1"/>
      <queryTableField id="2" name="(Device_Test, Device_Attack)" tableColumnId="2"/>
      <queryTableField id="3" name="(Compile_Test(fallback_random, epilogue_fusion, shape_padding, dynamic), Compile_Attack(fallback_random, epilogue_fusion, shape_padding, dynamic))" tableColumnId="3"/>
      <queryTableField id="4" name="Different_to_Same" tableColumnId="4"/>
      <queryTableField id="5" name="Same_to_Different" tableColumnId="5"/>
      <queryTableField id="6" name="Label_change" tableColumnId="6"/>
      <queryTableField id="7" name="all" tableColumnId="7"/>
      <queryTableField id="8" name="prob" tableColumnId="8"/>
      <queryTableField id="9" name="Stats_chang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51F56E1-7178-4751-AF7B-E67819FAFC39}" autoFormatId="16" applyNumberFormats="0" applyBorderFormats="0" applyFontFormats="0" applyPatternFormats="0" applyAlignmentFormats="0" applyWidthHeightFormats="0">
  <queryTableRefresh nextId="10">
    <queryTableFields count="9">
      <queryTableField id="1" name="(Precision_Test, Precision_Attack)" tableColumnId="1"/>
      <queryTableField id="2" name="(Device_Test, Device_Attack)" tableColumnId="2"/>
      <queryTableField id="3" name="(Compile_Test(fallback_random, epilogue_fusion, shape_padding, dynamic), Compile_Attack(fallback_random, epilogue_fusion, shape_padding, dynamic))" tableColumnId="3"/>
      <queryTableField id="4" name="Different_to_Same" tableColumnId="4"/>
      <queryTableField id="5" name="Same_to_Different" tableColumnId="5"/>
      <queryTableField id="6" name="Label_change" tableColumnId="6"/>
      <queryTableField id="7" name="all" tableColumnId="7"/>
      <queryTableField id="8" name="prob" tableColumnId="8"/>
      <queryTableField id="9" name="Stats_chang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3C0090B-1FEB-4383-8DD7-F8E88D6DCBBF}" autoFormatId="16" applyNumberFormats="0" applyBorderFormats="0" applyFontFormats="0" applyPatternFormats="0" applyAlignmentFormats="0" applyWidthHeightFormats="0">
  <queryTableRefresh nextId="10">
    <queryTableFields count="9">
      <queryTableField id="1" name="(Precision_Test, Precision_Attack)" tableColumnId="1"/>
      <queryTableField id="2" name="(Device_Test, Device_Attack)" tableColumnId="2"/>
      <queryTableField id="3" name="(Compile_Test(fallback_random, epilogue_fusion, shape_padding, dynamic), Compile_Attack(fallback_random, epilogue_fusion, shape_padding, dynamic))" tableColumnId="3"/>
      <queryTableField id="4" name="Different_to_Same" tableColumnId="4"/>
      <queryTableField id="5" name="Same_to_Different" tableColumnId="5"/>
      <queryTableField id="6" name="Label_change" tableColumnId="6"/>
      <queryTableField id="7" name="all" tableColumnId="7"/>
      <queryTableField id="8" name="prob" tableColumnId="8"/>
      <queryTableField id="9" name="Stats_chang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9969BA2-1308-481B-84BB-0CBB2E59FE44}" autoFormatId="16" applyNumberFormats="0" applyBorderFormats="0" applyFontFormats="0" applyPatternFormats="0" applyAlignmentFormats="0" applyWidthHeightFormats="0">
  <queryTableRefresh nextId="10">
    <queryTableFields count="9">
      <queryTableField id="1" name="(Precision_Test, Precision_Attack)" tableColumnId="1"/>
      <queryTableField id="2" name="(Device_Test, Device_Attack)" tableColumnId="2"/>
      <queryTableField id="3" name="(Compile_Test(fallback_random, epilogue_fusion, shape_padding, dynamic), Compile_Attack(fallback_random, epilogue_fusion, shape_padding, dynamic))" tableColumnId="3"/>
      <queryTableField id="4" name="Different_to_Same" tableColumnId="4"/>
      <queryTableField id="5" name="Same_to_Different" tableColumnId="5"/>
      <queryTableField id="6" name="Label_change" tableColumnId="6"/>
      <queryTableField id="7" name="all" tableColumnId="7"/>
      <queryTableField id="8" name="prob" tableColumnId="8"/>
      <queryTableField id="9" name="Stats_chang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C0C7B017-AD11-459B-9127-114B7E4A2EB7}" autoFormatId="16" applyNumberFormats="0" applyBorderFormats="0" applyFontFormats="0" applyPatternFormats="0" applyAlignmentFormats="0" applyWidthHeightFormats="0">
  <queryTableRefresh nextId="11">
    <queryTableFields count="10">
      <queryTableField id="1" name="Source.Name" tableColumnId="1"/>
      <queryTableField id="2" name="(Precision_Test, Precision_Attack)" tableColumnId="2"/>
      <queryTableField id="3" name="(Device_Test, Device_Attack)" tableColumnId="3"/>
      <queryTableField id="4" name="(Compile_Test(fallback_random, epilogue_fusion, shape_padding, dynamic), Compile_Attack(fallback_random, epilogue_fusion, shape_padding, dynamic))" tableColumnId="4"/>
      <queryTableField id="5" name="Different_to_Same" tableColumnId="5"/>
      <queryTableField id="6" name="Same_to_Different" tableColumnId="6"/>
      <queryTableField id="7" name="Label_change" tableColumnId="7"/>
      <queryTableField id="8" name="all" tableColumnId="8"/>
      <queryTableField id="9" name="prob" tableColumnId="9"/>
      <queryTableField id="10" name="Stats_chang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A7B90-4637-44CA-A088-584567226726}" name="_1" displayName="_1" ref="A1:I7" tableType="queryTable" totalsRowShown="0">
  <autoFilter ref="A1:I7" xr:uid="{CCBA7B90-4637-44CA-A088-584567226726}"/>
  <tableColumns count="9">
    <tableColumn id="1" xr3:uid="{5B1BEE97-4EE9-4119-93AD-021505EF7F5F}" uniqueName="1" name="(Precision_Test, Precision_Attack)" queryTableFieldId="1" dataDxfId="27"/>
    <tableColumn id="2" xr3:uid="{CD2213C6-B91B-4088-9770-B35124C26BD1}" uniqueName="2" name="(Device_Test, Device_Attack)" queryTableFieldId="2" dataDxfId="26"/>
    <tableColumn id="3" xr3:uid="{2E32F51F-3506-4C22-ABE2-29DC123D6B6F}" uniqueName="3" name="(Compile_Test(fallback_random, epilogue_fusion, shape_padding, dynamic), Compile_Attack(fallback_random, epilogue_fusion, shape_padding, dynamic))" queryTableFieldId="3" dataDxfId="25"/>
    <tableColumn id="4" xr3:uid="{C9E96675-ADB8-4A96-8337-C7C59545D942}" uniqueName="4" name="Different_to_Same" queryTableFieldId="4"/>
    <tableColumn id="5" xr3:uid="{60C80C40-402A-466B-9013-020ED1CF2C12}" uniqueName="5" name="Same_to_Different" queryTableFieldId="5"/>
    <tableColumn id="6" xr3:uid="{E4C57EC8-6376-4B53-9891-D87EFB77397A}" uniqueName="6" name="Label_change" queryTableFieldId="6"/>
    <tableColumn id="7" xr3:uid="{CE6FEDD1-260A-4FF8-8879-EBC18D025C1B}" uniqueName="7" name="all" queryTableFieldId="7" dataDxfId="24"/>
    <tableColumn id="8" xr3:uid="{9E34C9A3-8F73-4F52-ABC0-0894A9340D76}" uniqueName="8" name="prob" queryTableFieldId="8" dataDxfId="23"/>
    <tableColumn id="9" xr3:uid="{F8B99D34-01C3-4FDF-ADFD-FF9EB9F1AA58}" uniqueName="9" name="Stats_change" queryTableFieldId="9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D53C8-1838-4B8F-8AB9-82E8DD3B1F3C}" name="触发鲁棒性问题汇总" displayName="触发鲁棒性问题汇总" ref="A1:I7" tableType="queryTable" totalsRowShown="0">
  <autoFilter ref="A1:I7" xr:uid="{53D2DB07-420D-495D-8CB7-0722D9B3A971}"/>
  <tableColumns count="9">
    <tableColumn id="1" xr3:uid="{A38BEF29-37D6-48EF-8F66-10671D8DAAAF}" uniqueName="1" name="(Precision_Test, Precision_Attack)" queryTableFieldId="1" dataDxfId="21"/>
    <tableColumn id="2" xr3:uid="{0E0AF675-49EF-44FF-A693-FB96874299D8}" uniqueName="2" name="(Device_Test, Device_Attack)" queryTableFieldId="2" dataDxfId="20"/>
    <tableColumn id="3" xr3:uid="{36CB2CA1-851B-4DF7-8BFB-84BA5B333CC7}" uniqueName="3" name="(Compile_Test(fallback_random, epilogue_fusion, shape_padding, dynamic), Compile_Attack(fallback_random, epilogue_fusion, shape_padding, dynamic))" queryTableFieldId="3" dataDxfId="19"/>
    <tableColumn id="4" xr3:uid="{4527073E-5019-4CEB-A4D6-AD24946271DB}" uniqueName="4" name="Different_to_Same" queryTableFieldId="4"/>
    <tableColumn id="5" xr3:uid="{0A669D8C-92BB-4E5C-8EF5-6E7DA4645D85}" uniqueName="5" name="Same_to_Different" queryTableFieldId="5"/>
    <tableColumn id="6" xr3:uid="{98D56847-29EA-434B-A6EE-BA25D46BFF55}" uniqueName="6" name="Label_change" queryTableFieldId="6"/>
    <tableColumn id="7" xr3:uid="{C21F807E-025E-4C93-AA55-DCA56316DC35}" uniqueName="7" name="all" queryTableFieldId="7"/>
    <tableColumn id="8" xr3:uid="{6B2F01B9-F483-4900-87A7-056D841A33A6}" uniqueName="8" name="prob" queryTableFieldId="8"/>
    <tableColumn id="9" xr3:uid="{840F254D-34EF-46D2-995B-95D970801B37}" uniqueName="9" name="Stats_change" queryTableField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99BF75-E1B3-4B28-9FC6-7410194AEE20}" name="触发鲁棒性问题汇总356" displayName="触发鲁棒性问题汇总356" ref="A1:I7" tableType="queryTable" totalsRowShown="0">
  <autoFilter ref="A1:I7" xr:uid="{53D2DB07-420D-495D-8CB7-0722D9B3A971}"/>
  <tableColumns count="9">
    <tableColumn id="1" xr3:uid="{80A27A75-EEEF-4B6C-8148-DC8504B482D0}" uniqueName="1" name="(Precision_Test, Precision_Attack)" queryTableFieldId="1" dataDxfId="18"/>
    <tableColumn id="2" xr3:uid="{517AB955-ED4E-4F21-9B9C-130FC06254F4}" uniqueName="2" name="(Device_Test, Device_Attack)" queryTableFieldId="2" dataDxfId="17"/>
    <tableColumn id="3" xr3:uid="{DFDCA00D-13CB-4493-8CEC-4BC2670F758E}" uniqueName="3" name="(Compile_Test(fallback_random, epilogue_fusion, shape_padding, dynamic), Compile_Attack(fallback_random, epilogue_fusion, shape_padding, dynamic))" queryTableFieldId="3" dataDxfId="16"/>
    <tableColumn id="4" xr3:uid="{56ECE649-0C09-493B-A593-082E4FF59E78}" uniqueName="4" name="Different_to_Same" queryTableFieldId="4"/>
    <tableColumn id="5" xr3:uid="{61CFD713-556F-4221-8707-4B38D3A64B4B}" uniqueName="5" name="Same_to_Different" queryTableFieldId="5"/>
    <tableColumn id="6" xr3:uid="{6B23253B-0A5D-4D8F-8B9A-6F23B4216E2B}" uniqueName="6" name="Label_change" queryTableFieldId="6"/>
    <tableColumn id="7" xr3:uid="{CAFF400D-8830-4D42-A750-D7B9E2E963BA}" uniqueName="7" name="all" queryTableFieldId="7"/>
    <tableColumn id="8" xr3:uid="{F85BF26B-58F3-4BEE-87FE-A87C628C7424}" uniqueName="8" name="prob" queryTableFieldId="8"/>
    <tableColumn id="9" xr3:uid="{9CA10C5D-4E28-455C-B5E8-8022B152FE9E}" uniqueName="9" name="Stats_change" queryTableFieldId="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7782F7-F69E-443C-AD32-563736AA2D0C}" name="触发鲁棒性问题汇总35678" displayName="触发鲁棒性问题汇总35678" ref="A1:I7" tableType="queryTable" totalsRowShown="0">
  <autoFilter ref="A1:I7" xr:uid="{53D2DB07-420D-495D-8CB7-0722D9B3A971}"/>
  <tableColumns count="9">
    <tableColumn id="1" xr3:uid="{53ABADB8-B42D-4E0A-8B27-92B5EC49AD26}" uniqueName="1" name="(Precision_Test, Precision_Attack)" queryTableFieldId="1" dataDxfId="15"/>
    <tableColumn id="2" xr3:uid="{41B6FD22-CA33-4E48-9BAA-18C07F9DF23C}" uniqueName="2" name="(Device_Test, Device_Attack)" queryTableFieldId="2" dataDxfId="14"/>
    <tableColumn id="3" xr3:uid="{A506CE93-DE82-4ED7-BAAC-8AE16D807B7D}" uniqueName="3" name="(Compile_Test(fallback_random, epilogue_fusion, shape_padding, dynamic), Compile_Attack(fallback_random, epilogue_fusion, shape_padding, dynamic))" queryTableFieldId="3" dataDxfId="13"/>
    <tableColumn id="4" xr3:uid="{0B94B4FD-5DA0-4051-BFE6-2373DBBF5ADD}" uniqueName="4" name="Different_to_Same" queryTableFieldId="4"/>
    <tableColumn id="5" xr3:uid="{FEB3E981-AA4D-4BFF-85AD-11C77EEF6982}" uniqueName="5" name="Same_to_Different" queryTableFieldId="5"/>
    <tableColumn id="6" xr3:uid="{12D26524-3615-48A1-B0DF-F36EEF53C3B6}" uniqueName="6" name="Label_change" queryTableFieldId="6"/>
    <tableColumn id="7" xr3:uid="{D3DDC4FA-7FCA-4136-BB5E-401E25FEC231}" uniqueName="7" name="all" queryTableFieldId="7"/>
    <tableColumn id="8" xr3:uid="{8BAC85E1-ED21-4B1A-A7FE-67C3FFE4B3B6}" uniqueName="8" name="prob" queryTableFieldId="8"/>
    <tableColumn id="9" xr3:uid="{6D1EAE9D-C189-4C76-856A-5761DBD687B8}" uniqueName="9" name="Stats_change" queryTableField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458031-1577-4B2E-A8E1-00F4DA326949}" name="触发鲁棒性问题汇总35" displayName="触发鲁棒性问题汇总35" ref="A1:I7" tableType="queryTable" totalsRowShown="0">
  <autoFilter ref="A1:I7" xr:uid="{53D2DB07-420D-495D-8CB7-0722D9B3A971}"/>
  <tableColumns count="9">
    <tableColumn id="1" xr3:uid="{BD50564F-48A2-4754-B2A0-80D3D8E67DB9}" uniqueName="1" name="(Precision_Test, Precision_Attack)" queryTableFieldId="1" dataDxfId="12"/>
    <tableColumn id="2" xr3:uid="{05C42CD2-FA2A-4C11-8735-22CA4FA96022}" uniqueName="2" name="(Device_Test, Device_Attack)" queryTableFieldId="2" dataDxfId="11"/>
    <tableColumn id="3" xr3:uid="{F6192AB2-6C5B-4CFD-86BB-4AE84FE2D7CF}" uniqueName="3" name="(Compile_Test(fallback_random, epilogue_fusion, shape_padding, dynamic), Compile_Attack(fallback_random, epilogue_fusion, shape_padding, dynamic))" queryTableFieldId="3" dataDxfId="10"/>
    <tableColumn id="4" xr3:uid="{8D360296-879E-43FB-8835-1292A1B60993}" uniqueName="4" name="Different_to_Same" queryTableFieldId="4"/>
    <tableColumn id="5" xr3:uid="{F4793A58-79B5-4FEA-88F8-2AA18F5268C3}" uniqueName="5" name="Same_to_Different" queryTableFieldId="5"/>
    <tableColumn id="6" xr3:uid="{734A2620-65DA-45A7-97C0-9B6D268B2E25}" uniqueName="6" name="Label_change" queryTableFieldId="6"/>
    <tableColumn id="7" xr3:uid="{6C0191A8-88FD-4D2B-9C99-D0D7411028B1}" uniqueName="7" name="all" queryTableFieldId="7"/>
    <tableColumn id="8" xr3:uid="{961AB930-3FFF-4B71-AE6C-62AD0B592E01}" uniqueName="8" name="prob" queryTableFieldId="8"/>
    <tableColumn id="9" xr3:uid="{B3D51DC4-2D5F-46C6-841F-C229EF6FDAA9}" uniqueName="9" name="Stats_change" queryTableFieldId="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0BB7E7-9672-43DA-B6BB-41F316A3FE64}" name="触发鲁棒性问题汇总3" displayName="触发鲁棒性问题汇总3" ref="A1:I7" tableType="queryTable" totalsRowShown="0">
  <autoFilter ref="A1:I7" xr:uid="{53D2DB07-420D-495D-8CB7-0722D9B3A971}"/>
  <tableColumns count="9">
    <tableColumn id="1" xr3:uid="{0716F29F-3C83-4693-8115-6BDB4FE0FCB6}" uniqueName="1" name="(Precision_Test, Precision_Attack)" queryTableFieldId="1" dataDxfId="9"/>
    <tableColumn id="2" xr3:uid="{DA6B0CAB-EDEC-413E-88FF-C858DF2920EE}" uniqueName="2" name="(Device_Test, Device_Attack)" queryTableFieldId="2" dataDxfId="8"/>
    <tableColumn id="3" xr3:uid="{D43E5345-7DB2-461E-B67F-F11B0F2CAF4C}" uniqueName="3" name="(Compile_Test(fallback_random, epilogue_fusion, shape_padding, dynamic), Compile_Attack(fallback_random, epilogue_fusion, shape_padding, dynamic))" queryTableFieldId="3" dataDxfId="7"/>
    <tableColumn id="4" xr3:uid="{8AB471F1-5F98-4CC2-BF0B-8F0791B4AFD1}" uniqueName="4" name="Different_to_Same" queryTableFieldId="4"/>
    <tableColumn id="5" xr3:uid="{A88E407F-7C03-4363-9D53-EA52416A4D88}" uniqueName="5" name="Same_to_Different" queryTableFieldId="5"/>
    <tableColumn id="6" xr3:uid="{7898D193-CFFA-4AED-9BEC-8EDA733C872E}" uniqueName="6" name="Label_change" queryTableFieldId="6"/>
    <tableColumn id="7" xr3:uid="{F5477601-7C30-47DC-A977-D9D3EB0E7255}" uniqueName="7" name="all" queryTableFieldId="7"/>
    <tableColumn id="8" xr3:uid="{F9C4BE79-DF2F-46E6-9EE5-D64756BB4B67}" uniqueName="8" name="prob" queryTableFieldId="8"/>
    <tableColumn id="9" xr3:uid="{D837541E-0CBC-4CEE-9C5F-4C28919BD4E9}" uniqueName="9" name="Stats_change" queryTableFieldId="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B33807-AA1B-4A0B-A4E8-54667719B6B4}" name="触发鲁棒性问题汇总3567" displayName="触发鲁棒性问题汇总3567" ref="A1:I7" tableType="queryTable" totalsRowShown="0">
  <autoFilter ref="A1:I7" xr:uid="{53D2DB07-420D-495D-8CB7-0722D9B3A971}"/>
  <tableColumns count="9">
    <tableColumn id="1" xr3:uid="{56D6B129-793F-456C-A17F-B8B607BC9403}" uniqueName="1" name="(Precision_Test, Precision_Attack)" queryTableFieldId="1" dataDxfId="6"/>
    <tableColumn id="2" xr3:uid="{496983B1-86BC-4BE8-9A28-6865817F5789}" uniqueName="2" name="(Device_Test, Device_Attack)" queryTableFieldId="2" dataDxfId="5"/>
    <tableColumn id="3" xr3:uid="{09717211-81C8-4A14-8454-DFF971710729}" uniqueName="3" name="(Compile_Test(fallback_random, epilogue_fusion, shape_padding, dynamic), Compile_Attack(fallback_random, epilogue_fusion, shape_padding, dynamic))" queryTableFieldId="3" dataDxfId="4"/>
    <tableColumn id="4" xr3:uid="{540D5F6E-D64C-4FB1-B4C8-892E2E5A18CC}" uniqueName="4" name="Different_to_Same" queryTableFieldId="4"/>
    <tableColumn id="5" xr3:uid="{8ECF47F4-9A9A-45B9-9F48-E83AF02A3BD4}" uniqueName="5" name="Same_to_Different" queryTableFieldId="5"/>
    <tableColumn id="6" xr3:uid="{7A9D3535-E732-4F3E-BD75-C37B37BA1E9D}" uniqueName="6" name="Label_change" queryTableFieldId="6"/>
    <tableColumn id="7" xr3:uid="{EB3631C1-B16C-4BB4-A4D7-17ADD0F0958A}" uniqueName="7" name="all" queryTableFieldId="7"/>
    <tableColumn id="8" xr3:uid="{A097E86D-051F-4A17-9374-7A7296AEDEF7}" uniqueName="8" name="prob" queryTableFieldId="8"/>
    <tableColumn id="9" xr3:uid="{DA5DBE8F-C31F-40BC-A54D-5B418E0671E4}" uniqueName="9" name="Stats_change" queryTableFieldId="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E5E196-DEEE-48FD-8278-276E9819EFBD}" name="新建文件夹" displayName="新建文件夹" ref="A1:J43" tableType="queryTable" totalsRowShown="0">
  <autoFilter ref="A1:J43" xr:uid="{9FE5E196-DEEE-48FD-8278-276E9819EFBD}"/>
  <tableColumns count="10">
    <tableColumn id="1" xr3:uid="{9C860B18-840C-42C9-8F80-080007656D47}" uniqueName="1" name="TorchModel_Name" queryTableFieldId="1" dataDxfId="0"/>
    <tableColumn id="2" xr3:uid="{EDAEF424-885E-451A-BE24-18F1DE41EF3C}" uniqueName="2" name="(Precision_Test, Precision_Attack)" queryTableFieldId="2" dataDxfId="3"/>
    <tableColumn id="3" xr3:uid="{03BAB049-76F9-41E9-87BF-91FF96325AF8}" uniqueName="3" name="(Device_Test, Device_Attack)" queryTableFieldId="3" dataDxfId="2"/>
    <tableColumn id="4" xr3:uid="{6432AE3A-AD20-4A6C-A04C-261DC84830F3}" uniqueName="4" name="(Compile_Test(fallback_random, epilogue_fusion, shape_padding, dynamic), Compile_Attack(fallback_random, epilogue_fusion, shape_padding, dynamic))" queryTableFieldId="4" dataDxfId="1"/>
    <tableColumn id="5" xr3:uid="{B1D35DDA-4891-4750-92CA-97F7A930B080}" uniqueName="5" name="Different_to_Same" queryTableFieldId="5"/>
    <tableColumn id="6" xr3:uid="{F1054C5F-9600-4CCF-A3A9-6D834E542BF6}" uniqueName="6" name="Same_to_Different" queryTableFieldId="6"/>
    <tableColumn id="7" xr3:uid="{EA3AD2FD-522D-4638-A395-59E18250C979}" uniqueName="7" name="Label_change" queryTableFieldId="7"/>
    <tableColumn id="8" xr3:uid="{B6AA51C1-6514-4BF0-AEBE-E5FCA6C6A7AF}" uniqueName="8" name="all" queryTableFieldId="8"/>
    <tableColumn id="9" xr3:uid="{673118F0-5555-4C70-B4A9-E4914EE33558}" uniqueName="9" name="prob" queryTableFieldId="9"/>
    <tableColumn id="10" xr3:uid="{9811BEAA-E850-4CD4-978E-A5F6C2C363B1}" uniqueName="10" name="Stats_change" queryTableField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EF0E-77B8-4512-A3A2-7C657C2D31BA}">
  <sheetPr codeName="Sheet1"/>
  <dimension ref="A1:I7"/>
  <sheetViews>
    <sheetView topLeftCell="C1" zoomScale="85" zoomScaleNormal="85" workbookViewId="0">
      <selection activeCell="C29" sqref="C29"/>
    </sheetView>
  </sheetViews>
  <sheetFormatPr defaultRowHeight="13.9" x14ac:dyDescent="0.4"/>
  <cols>
    <col min="1" max="1" width="33.53125" bestFit="1" customWidth="1"/>
    <col min="2" max="2" width="29" bestFit="1" customWidth="1"/>
    <col min="3" max="3" width="74.86328125" bestFit="1" customWidth="1"/>
    <col min="4" max="5" width="19.73046875" bestFit="1" customWidth="1"/>
    <col min="6" max="6" width="15.19921875" bestFit="1" customWidth="1"/>
    <col min="7" max="7" width="5.46484375" bestFit="1" customWidth="1"/>
    <col min="8" max="8" width="7.3984375" bestFit="1" customWidth="1"/>
    <col min="9" max="9" width="14.79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1" t="s">
        <v>9</v>
      </c>
      <c r="B2" s="1" t="s">
        <v>10</v>
      </c>
      <c r="C2" s="2" t="s">
        <v>11</v>
      </c>
      <c r="D2" s="2">
        <v>1933</v>
      </c>
      <c r="E2" s="2">
        <v>0</v>
      </c>
      <c r="F2" s="2">
        <f>_1[[#This Row],[all]]-_1[[#This Row],[Different_to_Same]]-_1[[#This Row],[Same_to_Different]]</f>
        <v>1067</v>
      </c>
      <c r="G2" s="2">
        <v>3000</v>
      </c>
      <c r="H2" s="2">
        <f>_1[[#This Row],[all]]/3000</f>
        <v>1</v>
      </c>
      <c r="I2" s="3">
        <f>_1[[#This Row],[Different_to_Same]]+_1[[#This Row],[Same_to_Different]]</f>
        <v>1933</v>
      </c>
    </row>
    <row r="3" spans="1:9" x14ac:dyDescent="0.4">
      <c r="A3" s="18" t="s">
        <v>9</v>
      </c>
      <c r="B3" s="18" t="s">
        <v>10</v>
      </c>
      <c r="C3" s="17" t="s">
        <v>12</v>
      </c>
      <c r="D3" s="17">
        <v>2840</v>
      </c>
      <c r="E3" s="17">
        <v>5</v>
      </c>
      <c r="F3" s="17">
        <f>_1[[#This Row],[all]]-_1[[#This Row],[Different_to_Same]]-_1[[#This Row],[Same_to_Different]]</f>
        <v>155</v>
      </c>
      <c r="G3" s="17">
        <v>3000</v>
      </c>
      <c r="H3" s="17">
        <f>_1[[#This Row],[all]]/3000</f>
        <v>1</v>
      </c>
      <c r="I3" s="19">
        <f>_1[[#This Row],[Different_to_Same]]+_1[[#This Row],[Same_to_Different]]</f>
        <v>2845</v>
      </c>
    </row>
    <row r="4" spans="1:9" x14ac:dyDescent="0.4">
      <c r="A4" s="4" t="s">
        <v>9</v>
      </c>
      <c r="B4" s="4" t="s">
        <v>10</v>
      </c>
      <c r="C4" t="s">
        <v>13</v>
      </c>
      <c r="D4">
        <v>2601</v>
      </c>
      <c r="E4">
        <v>0</v>
      </c>
      <c r="F4">
        <f>_1[[#This Row],[all]]-_1[[#This Row],[Different_to_Same]]-_1[[#This Row],[Same_to_Different]]</f>
        <v>399</v>
      </c>
      <c r="G4">
        <v>3000</v>
      </c>
      <c r="H4">
        <f>_1[[#This Row],[all]]/3000</f>
        <v>1</v>
      </c>
      <c r="I4" s="5">
        <f>_1[[#This Row],[Different_to_Same]]+_1[[#This Row],[Same_to_Different]]</f>
        <v>2601</v>
      </c>
    </row>
    <row r="5" spans="1:9" x14ac:dyDescent="0.4">
      <c r="A5" s="6" t="s">
        <v>9</v>
      </c>
      <c r="B5" s="6" t="s">
        <v>10</v>
      </c>
      <c r="C5" s="7" t="s">
        <v>14</v>
      </c>
      <c r="D5" s="7">
        <v>2689</v>
      </c>
      <c r="E5" s="7">
        <v>29</v>
      </c>
      <c r="F5" s="7">
        <f>_1[[#This Row],[all]]-_1[[#This Row],[Different_to_Same]]-_1[[#This Row],[Same_to_Different]]</f>
        <v>282</v>
      </c>
      <c r="G5" s="7">
        <v>3000</v>
      </c>
      <c r="H5" s="7">
        <f>_1[[#This Row],[all]]/3000</f>
        <v>1</v>
      </c>
      <c r="I5" s="8">
        <f>_1[[#This Row],[Different_to_Same]]+_1[[#This Row],[Same_to_Different]]</f>
        <v>2718</v>
      </c>
    </row>
    <row r="6" spans="1:9" x14ac:dyDescent="0.4">
      <c r="A6" s="9" t="s">
        <v>9</v>
      </c>
      <c r="B6" s="9" t="s">
        <v>15</v>
      </c>
      <c r="C6" s="10" t="s">
        <v>16</v>
      </c>
      <c r="D6" s="10">
        <v>2840</v>
      </c>
      <c r="E6" s="10">
        <v>6</v>
      </c>
      <c r="F6" s="10">
        <f>_1[[#This Row],[all]]-_1[[#This Row],[Different_to_Same]]-_1[[#This Row],[Same_to_Different]]</f>
        <v>103</v>
      </c>
      <c r="G6" s="11">
        <v>2949</v>
      </c>
      <c r="H6" s="10">
        <f>_1[[#This Row],[all]]/3000</f>
        <v>0.98299999999999998</v>
      </c>
      <c r="I6" s="10">
        <f>_1[[#This Row],[Different_to_Same]]+_1[[#This Row],[Same_to_Different]]</f>
        <v>2846</v>
      </c>
    </row>
    <row r="7" spans="1:9" x14ac:dyDescent="0.4">
      <c r="A7" t="s">
        <v>17</v>
      </c>
      <c r="B7" t="s">
        <v>10</v>
      </c>
      <c r="C7" t="s">
        <v>16</v>
      </c>
      <c r="D7">
        <v>1983</v>
      </c>
      <c r="E7">
        <v>160</v>
      </c>
      <c r="F7">
        <f>_1[[#This Row],[all]]-_1[[#This Row],[Different_to_Same]]-_1[[#This Row],[Same_to_Different]]</f>
        <v>857</v>
      </c>
      <c r="G7">
        <v>3000</v>
      </c>
      <c r="H7">
        <f>_1[[#This Row],[all]]/3000</f>
        <v>1</v>
      </c>
      <c r="I7">
        <f>_1[[#This Row],[Different_to_Same]]+_1[[#This Row],[Same_to_Different]]</f>
        <v>2143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8955-16CC-4AA9-8F88-20C32150CE2F}">
  <sheetPr codeName="Sheet2"/>
  <dimension ref="A1:I7"/>
  <sheetViews>
    <sheetView topLeftCell="C1" zoomScale="85" zoomScaleNormal="85" workbookViewId="0">
      <selection activeCell="I8" sqref="I8:I18"/>
    </sheetView>
  </sheetViews>
  <sheetFormatPr defaultRowHeight="13.9" x14ac:dyDescent="0.4"/>
  <cols>
    <col min="1" max="1" width="33.53125" bestFit="1" customWidth="1"/>
    <col min="2" max="2" width="29" bestFit="1" customWidth="1"/>
    <col min="3" max="3" width="74.86328125" bestFit="1" customWidth="1"/>
    <col min="4" max="5" width="19.73046875" bestFit="1" customWidth="1"/>
    <col min="6" max="6" width="15.19921875" bestFit="1" customWidth="1"/>
    <col min="7" max="7" width="5.33203125" bestFit="1" customWidth="1"/>
    <col min="8" max="8" width="7.3984375" bestFit="1" customWidth="1"/>
    <col min="9" max="9" width="14.796875" bestFit="1" customWidth="1"/>
  </cols>
  <sheetData>
    <row r="1" spans="1:9" x14ac:dyDescent="0.4">
      <c r="A1" t="s">
        <v>0</v>
      </c>
      <c r="B1" t="s">
        <v>1</v>
      </c>
      <c r="C1" t="s">
        <v>18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12" t="s">
        <v>9</v>
      </c>
      <c r="B2" s="13" t="s">
        <v>10</v>
      </c>
      <c r="C2" s="13" t="s">
        <v>11</v>
      </c>
      <c r="D2" s="13">
        <v>2512</v>
      </c>
      <c r="E2" s="13">
        <v>31</v>
      </c>
      <c r="F2" s="13">
        <v>457</v>
      </c>
      <c r="G2" s="13">
        <v>3000</v>
      </c>
      <c r="H2" s="13">
        <v>1</v>
      </c>
      <c r="I2" s="14">
        <v>2543</v>
      </c>
    </row>
    <row r="3" spans="1:9" x14ac:dyDescent="0.4">
      <c r="A3" s="4" t="s">
        <v>9</v>
      </c>
      <c r="B3" t="s">
        <v>10</v>
      </c>
      <c r="C3" t="s">
        <v>12</v>
      </c>
      <c r="D3">
        <v>2494</v>
      </c>
      <c r="E3">
        <v>42</v>
      </c>
      <c r="F3">
        <v>464</v>
      </c>
      <c r="G3">
        <v>3000</v>
      </c>
      <c r="H3">
        <v>1</v>
      </c>
      <c r="I3" s="5">
        <v>2536</v>
      </c>
    </row>
    <row r="4" spans="1:9" x14ac:dyDescent="0.4">
      <c r="A4" s="4" t="s">
        <v>9</v>
      </c>
      <c r="B4" t="s">
        <v>10</v>
      </c>
      <c r="C4" t="s">
        <v>13</v>
      </c>
      <c r="D4">
        <v>972</v>
      </c>
      <c r="E4">
        <v>12</v>
      </c>
      <c r="F4">
        <v>2016</v>
      </c>
      <c r="G4">
        <v>3000</v>
      </c>
      <c r="H4">
        <v>1</v>
      </c>
      <c r="I4" s="5">
        <v>984</v>
      </c>
    </row>
    <row r="5" spans="1:9" x14ac:dyDescent="0.4">
      <c r="A5" s="6" t="s">
        <v>9</v>
      </c>
      <c r="B5" s="7" t="s">
        <v>10</v>
      </c>
      <c r="C5" s="7" t="s">
        <v>14</v>
      </c>
      <c r="D5" s="7">
        <v>1563</v>
      </c>
      <c r="E5" s="7">
        <v>107</v>
      </c>
      <c r="F5" s="7">
        <v>1330</v>
      </c>
      <c r="G5" s="7">
        <v>3000</v>
      </c>
      <c r="H5" s="7">
        <v>1</v>
      </c>
      <c r="I5" s="8">
        <v>1670</v>
      </c>
    </row>
    <row r="6" spans="1:9" x14ac:dyDescent="0.4">
      <c r="A6" s="17" t="s">
        <v>9</v>
      </c>
      <c r="B6" s="17" t="s">
        <v>15</v>
      </c>
      <c r="C6" s="17" t="s">
        <v>16</v>
      </c>
      <c r="D6" s="17">
        <v>2101</v>
      </c>
      <c r="E6" s="17">
        <v>86</v>
      </c>
      <c r="F6" s="17">
        <v>813</v>
      </c>
      <c r="G6" s="17">
        <v>3000</v>
      </c>
      <c r="H6" s="17">
        <v>1</v>
      </c>
      <c r="I6" s="17">
        <v>2187</v>
      </c>
    </row>
    <row r="7" spans="1:9" x14ac:dyDescent="0.4">
      <c r="A7" t="s">
        <v>17</v>
      </c>
      <c r="B7" t="s">
        <v>10</v>
      </c>
      <c r="C7" t="s">
        <v>16</v>
      </c>
      <c r="D7">
        <v>1082</v>
      </c>
      <c r="E7">
        <v>54</v>
      </c>
      <c r="F7">
        <v>1864</v>
      </c>
      <c r="G7">
        <v>3000</v>
      </c>
      <c r="H7">
        <v>1</v>
      </c>
      <c r="I7">
        <v>1136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CCD6-8847-467F-A51E-FFB0F6258DF3}">
  <sheetPr codeName="Sheet3"/>
  <dimension ref="A1:I7"/>
  <sheetViews>
    <sheetView topLeftCell="C1" zoomScale="85" zoomScaleNormal="85" workbookViewId="0">
      <selection activeCell="I8" sqref="I8:I18"/>
    </sheetView>
  </sheetViews>
  <sheetFormatPr defaultRowHeight="13.9" x14ac:dyDescent="0.4"/>
  <cols>
    <col min="1" max="1" width="33.53125" bestFit="1" customWidth="1"/>
    <col min="2" max="2" width="29" bestFit="1" customWidth="1"/>
    <col min="3" max="3" width="74.86328125" bestFit="1" customWidth="1"/>
    <col min="4" max="5" width="19.73046875" bestFit="1" customWidth="1"/>
    <col min="6" max="6" width="15.19921875" bestFit="1" customWidth="1"/>
    <col min="7" max="7" width="5.33203125" bestFit="1" customWidth="1"/>
    <col min="8" max="8" width="7.3984375" bestFit="1" customWidth="1"/>
    <col min="9" max="9" width="14.796875" bestFit="1" customWidth="1"/>
  </cols>
  <sheetData>
    <row r="1" spans="1:9" x14ac:dyDescent="0.4">
      <c r="A1" t="s">
        <v>0</v>
      </c>
      <c r="B1" t="s">
        <v>1</v>
      </c>
      <c r="C1" t="s">
        <v>18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1" t="s">
        <v>9</v>
      </c>
      <c r="B2" s="15" t="s">
        <v>10</v>
      </c>
      <c r="C2" s="15" t="s">
        <v>11</v>
      </c>
      <c r="D2" s="15">
        <v>2213</v>
      </c>
      <c r="E2" s="15">
        <v>0</v>
      </c>
      <c r="F2" s="15">
        <f>触发鲁棒性问题汇总356[[#This Row],[all]]-触发鲁棒性问题汇总356[[#This Row],[Different_to_Same]]</f>
        <v>787</v>
      </c>
      <c r="G2" s="15">
        <v>3000</v>
      </c>
      <c r="H2" s="15">
        <v>1</v>
      </c>
      <c r="I2" s="16">
        <f>触发鲁棒性问题汇总356[[#This Row],[Different_to_Same]]+触发鲁棒性问题汇总356[[#This Row],[Same_to_Different]]</f>
        <v>2213</v>
      </c>
    </row>
    <row r="3" spans="1:9" x14ac:dyDescent="0.4">
      <c r="A3" s="29" t="s">
        <v>9</v>
      </c>
      <c r="B3" s="10" t="s">
        <v>10</v>
      </c>
      <c r="C3" s="10" t="s">
        <v>12</v>
      </c>
      <c r="D3" s="10">
        <v>2715</v>
      </c>
      <c r="E3" s="10">
        <v>0</v>
      </c>
      <c r="F3" s="10">
        <f>触发鲁棒性问题汇总356[[#This Row],[all]]-触发鲁棒性问题汇总356[[#This Row],[Different_to_Same]]</f>
        <v>285</v>
      </c>
      <c r="G3" s="10">
        <v>3000</v>
      </c>
      <c r="H3" s="10">
        <v>1</v>
      </c>
      <c r="I3" s="22">
        <f>触发鲁棒性问题汇总356[[#This Row],[Different_to_Same]]+触发鲁棒性问题汇总356[[#This Row],[Same_to_Different]]</f>
        <v>2715</v>
      </c>
    </row>
    <row r="4" spans="1:9" x14ac:dyDescent="0.4">
      <c r="A4" s="4" t="s">
        <v>9</v>
      </c>
      <c r="B4" t="s">
        <v>10</v>
      </c>
      <c r="C4" t="s">
        <v>13</v>
      </c>
      <c r="D4">
        <v>1710</v>
      </c>
      <c r="E4">
        <v>0</v>
      </c>
      <c r="F4" s="17">
        <f>触发鲁棒性问题汇总356[[#This Row],[all]]-触发鲁棒性问题汇总356[[#This Row],[Different_to_Same]]</f>
        <v>1290</v>
      </c>
      <c r="G4">
        <v>3000</v>
      </c>
      <c r="H4">
        <v>1</v>
      </c>
      <c r="I4" s="19">
        <f>触发鲁棒性问题汇总356[[#This Row],[Different_to_Same]]+触发鲁棒性问题汇总356[[#This Row],[Same_to_Different]]</f>
        <v>1710</v>
      </c>
    </row>
    <row r="5" spans="1:9" x14ac:dyDescent="0.4">
      <c r="A5" s="6" t="s">
        <v>9</v>
      </c>
      <c r="B5" s="7" t="s">
        <v>10</v>
      </c>
      <c r="C5" s="7" t="s">
        <v>14</v>
      </c>
      <c r="D5" s="7">
        <v>1814</v>
      </c>
      <c r="E5" s="7">
        <v>0</v>
      </c>
      <c r="F5" s="20">
        <f>触发鲁棒性问题汇总356[[#This Row],[all]]-触发鲁棒性问题汇总356[[#This Row],[Different_to_Same]]</f>
        <v>1186</v>
      </c>
      <c r="G5" s="7">
        <v>3000</v>
      </c>
      <c r="H5" s="7">
        <v>1</v>
      </c>
      <c r="I5" s="21">
        <f>触发鲁棒性问题汇总356[[#This Row],[Different_to_Same]]+触发鲁棒性问题汇总356[[#This Row],[Same_to_Different]]</f>
        <v>1814</v>
      </c>
    </row>
    <row r="6" spans="1:9" x14ac:dyDescent="0.4">
      <c r="A6" s="9" t="s">
        <v>9</v>
      </c>
      <c r="B6" s="10" t="s">
        <v>15</v>
      </c>
      <c r="C6" s="10" t="s">
        <v>16</v>
      </c>
      <c r="D6" s="10">
        <v>2715</v>
      </c>
      <c r="E6" s="10">
        <v>0</v>
      </c>
      <c r="F6" s="10">
        <v>285</v>
      </c>
      <c r="G6" s="10">
        <v>3000</v>
      </c>
      <c r="H6" s="10">
        <v>1</v>
      </c>
      <c r="I6" s="10">
        <v>2715</v>
      </c>
    </row>
    <row r="7" spans="1:9" x14ac:dyDescent="0.4">
      <c r="A7" s="9" t="s">
        <v>17</v>
      </c>
      <c r="B7" s="9" t="s">
        <v>10</v>
      </c>
      <c r="C7" s="10" t="s">
        <v>16</v>
      </c>
      <c r="D7" s="10">
        <v>2715</v>
      </c>
      <c r="E7" s="10">
        <v>0</v>
      </c>
      <c r="F7" s="10">
        <v>285</v>
      </c>
      <c r="G7" s="10">
        <v>3000</v>
      </c>
      <c r="H7" s="10">
        <v>1</v>
      </c>
      <c r="I7" s="10">
        <v>2715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F7DC-01F8-4070-A628-761A82D9109B}">
  <sheetPr codeName="Sheet4"/>
  <dimension ref="A1:I7"/>
  <sheetViews>
    <sheetView topLeftCell="C1" zoomScale="85" zoomScaleNormal="85" workbookViewId="0">
      <selection activeCell="C28" sqref="C28"/>
    </sheetView>
  </sheetViews>
  <sheetFormatPr defaultRowHeight="13.9" x14ac:dyDescent="0.4"/>
  <cols>
    <col min="1" max="1" width="33.53125" bestFit="1" customWidth="1"/>
    <col min="2" max="2" width="29" bestFit="1" customWidth="1"/>
    <col min="3" max="3" width="74.86328125" bestFit="1" customWidth="1"/>
    <col min="4" max="5" width="19.73046875" bestFit="1" customWidth="1"/>
    <col min="6" max="6" width="15.19921875" bestFit="1" customWidth="1"/>
    <col min="7" max="7" width="5.33203125" bestFit="1" customWidth="1"/>
    <col min="8" max="8" width="7.3984375" bestFit="1" customWidth="1"/>
    <col min="9" max="9" width="14.796875" bestFit="1" customWidth="1"/>
  </cols>
  <sheetData>
    <row r="1" spans="1:9" x14ac:dyDescent="0.4">
      <c r="A1" t="s">
        <v>0</v>
      </c>
      <c r="B1" t="s">
        <v>1</v>
      </c>
      <c r="C1" t="s">
        <v>18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26" t="s">
        <v>9</v>
      </c>
      <c r="B2" s="15" t="s">
        <v>10</v>
      </c>
      <c r="C2" s="15" t="s">
        <v>11</v>
      </c>
      <c r="D2" s="15">
        <v>790</v>
      </c>
      <c r="E2" s="15">
        <v>0</v>
      </c>
      <c r="F2" s="15">
        <f>触发鲁棒性问题汇总35678[[#This Row],[all]]-触发鲁棒性问题汇总35678[[#This Row],[Same_to_Different]]-触发鲁棒性问题汇总35678[[#This Row],[Different_to_Same]]</f>
        <v>2210</v>
      </c>
      <c r="G2" s="15">
        <v>3000</v>
      </c>
      <c r="H2" s="15">
        <v>1</v>
      </c>
      <c r="I2" s="16">
        <f>触发鲁棒性问题汇总35678[[#This Row],[Different_to_Same]]+触发鲁棒性问题汇总35678[[#This Row],[Same_to_Different]]</f>
        <v>790</v>
      </c>
    </row>
    <row r="3" spans="1:9" x14ac:dyDescent="0.4">
      <c r="A3" s="18" t="s">
        <v>9</v>
      </c>
      <c r="B3" t="s">
        <v>10</v>
      </c>
      <c r="C3" t="s">
        <v>12</v>
      </c>
      <c r="D3">
        <v>1507</v>
      </c>
      <c r="E3">
        <v>57</v>
      </c>
      <c r="F3">
        <f>触发鲁棒性问题汇总35678[[#This Row],[all]]-触发鲁棒性问题汇总35678[[#This Row],[Different_to_Same]]-触发鲁棒性问题汇总35678[[#This Row],[Same_to_Different]]</f>
        <v>1436</v>
      </c>
      <c r="G3">
        <v>3000</v>
      </c>
      <c r="H3">
        <v>1</v>
      </c>
      <c r="I3" s="19">
        <f>触发鲁棒性问题汇总35678[[#This Row],[Different_to_Same]]+触发鲁棒性问题汇总35678[[#This Row],[Same_to_Different]]</f>
        <v>1564</v>
      </c>
    </row>
    <row r="4" spans="1:9" x14ac:dyDescent="0.4">
      <c r="A4" s="18" t="s">
        <v>9</v>
      </c>
      <c r="B4" t="s">
        <v>10</v>
      </c>
      <c r="C4" t="s">
        <v>13</v>
      </c>
      <c r="D4">
        <v>613</v>
      </c>
      <c r="E4">
        <v>51</v>
      </c>
      <c r="F4">
        <f>触发鲁棒性问题汇总35678[[#This Row],[all]]-触发鲁棒性问题汇总35678[[#This Row],[Different_to_Same]]-触发鲁棒性问题汇总35678[[#This Row],[Same_to_Different]]</f>
        <v>2336</v>
      </c>
      <c r="G4">
        <v>3000</v>
      </c>
      <c r="H4">
        <v>1</v>
      </c>
      <c r="I4" s="19">
        <f>触发鲁棒性问题汇总35678[[#This Row],[Different_to_Same]]+触发鲁棒性问题汇总35678[[#This Row],[Same_to_Different]]</f>
        <v>664</v>
      </c>
    </row>
    <row r="5" spans="1:9" s="10" customFormat="1" x14ac:dyDescent="0.4">
      <c r="A5" s="23" t="s">
        <v>9</v>
      </c>
      <c r="B5" s="24" t="s">
        <v>10</v>
      </c>
      <c r="C5" s="24" t="s">
        <v>14</v>
      </c>
      <c r="D5" s="24">
        <v>1504</v>
      </c>
      <c r="E5" s="24">
        <v>88</v>
      </c>
      <c r="F5" s="24">
        <f>触发鲁棒性问题汇总35678[[#This Row],[all]]-触发鲁棒性问题汇总35678[[#This Row],[Different_to_Same]]-触发鲁棒性问题汇总35678[[#This Row],[Same_to_Different]]</f>
        <v>1408</v>
      </c>
      <c r="G5" s="24">
        <v>3000</v>
      </c>
      <c r="H5" s="24">
        <v>1</v>
      </c>
      <c r="I5" s="25">
        <f>触发鲁棒性问题汇总35678[[#This Row],[Different_to_Same]]+触发鲁棒性问题汇总35678[[#This Row],[Same_to_Different]]</f>
        <v>1592</v>
      </c>
    </row>
    <row r="6" spans="1:9" x14ac:dyDescent="0.4">
      <c r="A6" s="17" t="s">
        <v>9</v>
      </c>
      <c r="B6" s="17" t="s">
        <v>15</v>
      </c>
      <c r="C6" s="17" t="s">
        <v>16</v>
      </c>
      <c r="D6" s="17">
        <v>1325</v>
      </c>
      <c r="E6" s="17">
        <v>6</v>
      </c>
      <c r="F6" s="17">
        <f>触发鲁棒性问题汇总35678[[#This Row],[all]]-触发鲁棒性问题汇总35678[[#This Row],[Different_to_Same]]-触发鲁棒性问题汇总35678[[#This Row],[Same_to_Different]]</f>
        <v>1669</v>
      </c>
      <c r="G6" s="17">
        <v>3000</v>
      </c>
      <c r="H6" s="17">
        <v>1</v>
      </c>
      <c r="I6" s="17">
        <f>触发鲁棒性问题汇总35678[[#This Row],[Different_to_Same]]+触发鲁棒性问题汇总35678[[#This Row],[Same_to_Different]]</f>
        <v>1331</v>
      </c>
    </row>
    <row r="7" spans="1:9" x14ac:dyDescent="0.4">
      <c r="A7" t="s">
        <v>17</v>
      </c>
      <c r="B7" t="s">
        <v>10</v>
      </c>
      <c r="C7" t="s">
        <v>16</v>
      </c>
      <c r="D7" s="17">
        <v>1430</v>
      </c>
      <c r="E7">
        <v>25</v>
      </c>
      <c r="F7">
        <f>触发鲁棒性问题汇总35678[[#This Row],[all]]-触发鲁棒性问题汇总35678[[#This Row],[Different_to_Same]]-触发鲁棒性问题汇总35678[[#This Row],[Same_to_Different]]</f>
        <v>1545</v>
      </c>
      <c r="G7">
        <v>3000</v>
      </c>
      <c r="H7">
        <v>1</v>
      </c>
      <c r="I7">
        <f>触发鲁棒性问题汇总35678[[#This Row],[Different_to_Same]]+触发鲁棒性问题汇总35678[[#This Row],[Same_to_Different]]</f>
        <v>1455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1841-6FA4-49B7-92B9-A66951D6556F}">
  <sheetPr codeName="Sheet5"/>
  <dimension ref="A1:I7"/>
  <sheetViews>
    <sheetView topLeftCell="C1" zoomScale="85" zoomScaleNormal="85" workbookViewId="0">
      <selection activeCell="I8" sqref="I8:I18"/>
    </sheetView>
  </sheetViews>
  <sheetFormatPr defaultRowHeight="13.9" x14ac:dyDescent="0.4"/>
  <cols>
    <col min="1" max="1" width="33.53125" bestFit="1" customWidth="1"/>
    <col min="2" max="2" width="29" bestFit="1" customWidth="1"/>
    <col min="3" max="3" width="74.86328125" bestFit="1" customWidth="1"/>
    <col min="4" max="5" width="19.73046875" bestFit="1" customWidth="1"/>
    <col min="6" max="6" width="15.19921875" bestFit="1" customWidth="1"/>
    <col min="7" max="7" width="5.33203125" bestFit="1" customWidth="1"/>
    <col min="8" max="8" width="7.3984375" bestFit="1" customWidth="1"/>
    <col min="9" max="9" width="14.796875" bestFit="1" customWidth="1"/>
  </cols>
  <sheetData>
    <row r="1" spans="1:9" x14ac:dyDescent="0.4">
      <c r="A1" t="s">
        <v>0</v>
      </c>
      <c r="B1" t="s">
        <v>1</v>
      </c>
      <c r="C1" t="s">
        <v>18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28" t="s">
        <v>9</v>
      </c>
      <c r="B2" s="13" t="s">
        <v>19</v>
      </c>
      <c r="C2" s="13" t="s">
        <v>11</v>
      </c>
      <c r="D2" s="13">
        <v>2657</v>
      </c>
      <c r="E2" s="13">
        <v>4</v>
      </c>
      <c r="F2" s="13">
        <f>3000-2-触发鲁棒性问题汇总35[[#This Row],[Different_to_Same]]-E2</f>
        <v>337</v>
      </c>
      <c r="G2" s="13">
        <f>触发鲁棒性问题汇总35[[#This Row],[Different_to_Same]]+E2+F2</f>
        <v>2998</v>
      </c>
      <c r="H2" s="13">
        <f>G2/3000</f>
        <v>0.9993333333333333</v>
      </c>
      <c r="I2" s="14">
        <f>触发鲁棒性问题汇总35[[#This Row],[Different_to_Same]]+触发鲁棒性问题汇总35[[#This Row],[Same_to_Different]]</f>
        <v>2661</v>
      </c>
    </row>
    <row r="3" spans="1:9" x14ac:dyDescent="0.4">
      <c r="A3" s="4" t="s">
        <v>9</v>
      </c>
      <c r="B3" t="s">
        <v>10</v>
      </c>
      <c r="C3" t="s">
        <v>12</v>
      </c>
      <c r="D3">
        <v>2657</v>
      </c>
      <c r="E3">
        <v>0</v>
      </c>
      <c r="F3">
        <f>触发鲁棒性问题汇总35[[#This Row],[all]]-触发鲁棒性问题汇总35[[#This Row],[Different_to_Same]]</f>
        <v>343</v>
      </c>
      <c r="G3">
        <v>3000</v>
      </c>
      <c r="H3">
        <v>1</v>
      </c>
      <c r="I3" s="5">
        <f>触发鲁棒性问题汇总35[[#This Row],[Different_to_Same]]+触发鲁棒性问题汇总35[[#This Row],[Same_to_Different]]</f>
        <v>2657</v>
      </c>
    </row>
    <row r="4" spans="1:9" x14ac:dyDescent="0.4">
      <c r="A4" s="4" t="s">
        <v>9</v>
      </c>
      <c r="B4" t="s">
        <v>10</v>
      </c>
      <c r="C4" t="s">
        <v>13</v>
      </c>
      <c r="D4">
        <v>2657</v>
      </c>
      <c r="E4">
        <v>0</v>
      </c>
      <c r="F4">
        <f>触发鲁棒性问题汇总35[[#This Row],[all]]-触发鲁棒性问题汇总35[[#This Row],[Different_to_Same]]</f>
        <v>343</v>
      </c>
      <c r="G4">
        <v>3000</v>
      </c>
      <c r="H4">
        <v>1</v>
      </c>
      <c r="I4" s="5">
        <f>触发鲁棒性问题汇总35[[#This Row],[Different_to_Same]]+触发鲁棒性问题汇总35[[#This Row],[Same_to_Different]]</f>
        <v>2657</v>
      </c>
    </row>
    <row r="5" spans="1:9" x14ac:dyDescent="0.4">
      <c r="A5" s="6" t="s">
        <v>9</v>
      </c>
      <c r="B5" s="7" t="s">
        <v>10</v>
      </c>
      <c r="C5" s="7" t="s">
        <v>14</v>
      </c>
      <c r="D5" s="7">
        <v>2657</v>
      </c>
      <c r="E5" s="7">
        <v>0</v>
      </c>
      <c r="F5" s="7">
        <f>触发鲁棒性问题汇总35[[#This Row],[all]]-触发鲁棒性问题汇总35[[#This Row],[Different_to_Same]]</f>
        <v>343</v>
      </c>
      <c r="G5" s="7">
        <v>3000</v>
      </c>
      <c r="H5" s="7">
        <v>1</v>
      </c>
      <c r="I5" s="8">
        <f>触发鲁棒性问题汇总35[[#This Row],[Different_to_Same]]+触发鲁棒性问题汇总35[[#This Row],[Same_to_Different]]</f>
        <v>2657</v>
      </c>
    </row>
    <row r="6" spans="1:9" x14ac:dyDescent="0.4">
      <c r="A6" t="s">
        <v>9</v>
      </c>
      <c r="B6" s="17" t="s">
        <v>15</v>
      </c>
      <c r="C6" s="17" t="s">
        <v>16</v>
      </c>
      <c r="D6" s="17">
        <v>2657</v>
      </c>
      <c r="E6" s="17">
        <v>0</v>
      </c>
      <c r="F6" s="17">
        <v>343</v>
      </c>
      <c r="G6" s="17">
        <v>3000</v>
      </c>
      <c r="H6" s="17">
        <v>1</v>
      </c>
      <c r="I6" s="17">
        <v>2657</v>
      </c>
    </row>
    <row r="7" spans="1:9" x14ac:dyDescent="0.4">
      <c r="A7" t="s">
        <v>17</v>
      </c>
      <c r="B7" t="s">
        <v>10</v>
      </c>
      <c r="C7" t="s">
        <v>16</v>
      </c>
      <c r="D7">
        <v>2657</v>
      </c>
      <c r="E7">
        <v>0</v>
      </c>
      <c r="F7">
        <v>343</v>
      </c>
      <c r="G7">
        <v>3000</v>
      </c>
      <c r="H7">
        <v>1</v>
      </c>
      <c r="I7">
        <v>2657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A55F-740F-447F-AE8C-4624243316E4}">
  <sheetPr codeName="Sheet6"/>
  <dimension ref="A1:I7"/>
  <sheetViews>
    <sheetView topLeftCell="C1" zoomScale="85" zoomScaleNormal="85" workbookViewId="0">
      <selection activeCell="I8" sqref="I8:I18"/>
    </sheetView>
  </sheetViews>
  <sheetFormatPr defaultRowHeight="13.9" x14ac:dyDescent="0.4"/>
  <cols>
    <col min="1" max="1" width="33.53125" bestFit="1" customWidth="1"/>
    <col min="2" max="2" width="29" bestFit="1" customWidth="1"/>
    <col min="3" max="3" width="74.86328125" bestFit="1" customWidth="1"/>
    <col min="4" max="5" width="19.73046875" bestFit="1" customWidth="1"/>
    <col min="6" max="6" width="15.19921875" bestFit="1" customWidth="1"/>
    <col min="7" max="7" width="7.46484375" bestFit="1" customWidth="1"/>
    <col min="8" max="8" width="7.3984375" bestFit="1" customWidth="1"/>
    <col min="9" max="9" width="14.79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28" t="s">
        <v>9</v>
      </c>
      <c r="B2" s="13" t="s">
        <v>10</v>
      </c>
      <c r="C2" s="13" t="s">
        <v>11</v>
      </c>
      <c r="D2" s="13">
        <v>2076</v>
      </c>
      <c r="E2" s="13">
        <v>53</v>
      </c>
      <c r="F2" s="13">
        <f>触发鲁棒性问题汇总3[[#This Row],[all]]-触发鲁棒性问题汇总3[[#This Row],[Different_to_Same]]-触发鲁棒性问题汇总3[[#This Row],[Same_to_Different]]</f>
        <v>871</v>
      </c>
      <c r="G2" s="34">
        <v>3000</v>
      </c>
      <c r="H2" s="13">
        <v>1</v>
      </c>
      <c r="I2" s="14">
        <f>触发鲁棒性问题汇总3[[#This Row],[Different_to_Same]]+触发鲁棒性问题汇总3[[#This Row],[Same_to_Different]]</f>
        <v>2129</v>
      </c>
    </row>
    <row r="3" spans="1:9" x14ac:dyDescent="0.4">
      <c r="A3" s="18" t="s">
        <v>9</v>
      </c>
      <c r="B3" t="s">
        <v>10</v>
      </c>
      <c r="C3" t="s">
        <v>12</v>
      </c>
      <c r="D3">
        <v>2075</v>
      </c>
      <c r="E3">
        <v>35</v>
      </c>
      <c r="F3" s="17">
        <f>触发鲁棒性问题汇总3[[#This Row],[all]]-触发鲁棒性问题汇总3[[#This Row],[Different_to_Same]]-触发鲁棒性问题汇总3[[#This Row],[Same_to_Different]]</f>
        <v>890</v>
      </c>
      <c r="G3" s="31">
        <v>3000</v>
      </c>
      <c r="H3">
        <v>1</v>
      </c>
      <c r="I3" s="19">
        <f>触发鲁棒性问题汇总3[[#This Row],[Different_to_Same]]+触发鲁棒性问题汇总3[[#This Row],[Same_to_Different]]</f>
        <v>2110</v>
      </c>
    </row>
    <row r="4" spans="1:9" x14ac:dyDescent="0.4">
      <c r="A4" s="18" t="s">
        <v>9</v>
      </c>
      <c r="B4" t="s">
        <v>10</v>
      </c>
      <c r="C4" t="s">
        <v>13</v>
      </c>
      <c r="D4">
        <v>2076</v>
      </c>
      <c r="E4">
        <v>0</v>
      </c>
      <c r="F4" s="17">
        <f>触发鲁棒性问题汇总3[[#This Row],[all]]-触发鲁棒性问题汇总3[[#This Row],[Different_to_Same]]-触发鲁棒性问题汇总3[[#This Row],[Same_to_Different]]</f>
        <v>924</v>
      </c>
      <c r="G4" s="31">
        <v>3000</v>
      </c>
      <c r="H4">
        <v>1</v>
      </c>
      <c r="I4" s="19">
        <f>触发鲁棒性问题汇总3[[#This Row],[Different_to_Same]]+触发鲁棒性问题汇总3[[#This Row],[Same_to_Different]]</f>
        <v>2076</v>
      </c>
    </row>
    <row r="5" spans="1:9" x14ac:dyDescent="0.4">
      <c r="A5" s="27" t="s">
        <v>9</v>
      </c>
      <c r="B5" s="7" t="s">
        <v>10</v>
      </c>
      <c r="C5" s="7" t="s">
        <v>14</v>
      </c>
      <c r="D5" s="7">
        <v>1750</v>
      </c>
      <c r="E5" s="7">
        <v>20</v>
      </c>
      <c r="F5" s="20">
        <f>触发鲁棒性问题汇总3[[#This Row],[all]]-触发鲁棒性问题汇总3[[#This Row],[Different_to_Same]]-触发鲁棒性问题汇总3[[#This Row],[Same_to_Different]]</f>
        <v>1230</v>
      </c>
      <c r="G5" s="32">
        <v>3000</v>
      </c>
      <c r="H5" s="7">
        <v>1</v>
      </c>
      <c r="I5" s="21">
        <f>触发鲁棒性问题汇总3[[#This Row],[Different_to_Same]]+触发鲁棒性问题汇总3[[#This Row],[Same_to_Different]]</f>
        <v>1770</v>
      </c>
    </row>
    <row r="6" spans="1:9" x14ac:dyDescent="0.4">
      <c r="A6" s="17" t="s">
        <v>9</v>
      </c>
      <c r="B6" s="17" t="s">
        <v>15</v>
      </c>
      <c r="C6" s="17" t="s">
        <v>16</v>
      </c>
      <c r="D6" s="17">
        <v>1567</v>
      </c>
      <c r="E6" s="17">
        <v>19</v>
      </c>
      <c r="F6" s="33">
        <f>触发鲁棒性问题汇总3[[#This Row],[all]]-触发鲁棒性问题汇总3[[#This Row],[Different_to_Same]]-触发鲁棒性问题汇总3[[#This Row],[Same_to_Different]]</f>
        <v>1405</v>
      </c>
      <c r="G6" s="33">
        <f>3000-9</f>
        <v>2991</v>
      </c>
      <c r="H6" s="17">
        <f>触发鲁棒性问题汇总3[[#This Row],[all]]/3000</f>
        <v>0.997</v>
      </c>
      <c r="I6" s="17">
        <f>触发鲁棒性问题汇总3[[#This Row],[Different_to_Same]]+触发鲁棒性问题汇总3[[#This Row],[Same_to_Different]]</f>
        <v>1586</v>
      </c>
    </row>
    <row r="7" spans="1:9" x14ac:dyDescent="0.4">
      <c r="A7" t="s">
        <v>17</v>
      </c>
      <c r="B7" t="s">
        <v>10</v>
      </c>
      <c r="C7" t="s">
        <v>16</v>
      </c>
      <c r="D7">
        <v>1554</v>
      </c>
      <c r="E7">
        <v>39</v>
      </c>
      <c r="F7" s="31">
        <f>触发鲁棒性问题汇总3[[#This Row],[all]]-触发鲁棒性问题汇总3[[#This Row],[Different_to_Same]]-触发鲁棒性问题汇总3[[#This Row],[Same_to_Different]]</f>
        <v>1407</v>
      </c>
      <c r="G7" s="31">
        <v>3000</v>
      </c>
      <c r="H7">
        <v>1</v>
      </c>
      <c r="I7">
        <f>触发鲁棒性问题汇总3[[#This Row],[Different_to_Same]]+触发鲁棒性问题汇总3[[#This Row],[Same_to_Different]]</f>
        <v>1593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5D97-1E82-42FE-B68C-AD84C6E9FBD3}">
  <sheetPr codeName="Sheet7"/>
  <dimension ref="A1:I7"/>
  <sheetViews>
    <sheetView topLeftCell="C1" zoomScale="85" zoomScaleNormal="85" workbookViewId="0">
      <selection activeCell="F17" sqref="F17"/>
    </sheetView>
  </sheetViews>
  <sheetFormatPr defaultRowHeight="13.9" x14ac:dyDescent="0.4"/>
  <cols>
    <col min="1" max="1" width="33.53125" bestFit="1" customWidth="1"/>
    <col min="2" max="2" width="29" bestFit="1" customWidth="1"/>
    <col min="3" max="3" width="74.86328125" bestFit="1" customWidth="1"/>
    <col min="4" max="5" width="19.73046875" bestFit="1" customWidth="1"/>
    <col min="6" max="6" width="15.19921875" bestFit="1" customWidth="1"/>
    <col min="7" max="7" width="5.33203125" bestFit="1" customWidth="1"/>
    <col min="8" max="8" width="7.3984375" bestFit="1" customWidth="1"/>
    <col min="9" max="9" width="14.79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1" t="s">
        <v>9</v>
      </c>
      <c r="B2" s="15" t="s">
        <v>10</v>
      </c>
      <c r="C2" s="15" t="s">
        <v>11</v>
      </c>
      <c r="D2" s="15">
        <v>1998</v>
      </c>
      <c r="E2" s="15">
        <v>14</v>
      </c>
      <c r="F2" s="15">
        <f>触发鲁棒性问题汇总3567[[#This Row],[all]]-触发鲁棒性问题汇总3567[[#This Row],[Different_to_Same]]-触发鲁棒性问题汇总3567[[#This Row],[Same_to_Different]]</f>
        <v>988</v>
      </c>
      <c r="G2" s="15">
        <v>3000</v>
      </c>
      <c r="H2" s="15">
        <v>1</v>
      </c>
      <c r="I2" s="15">
        <f>触发鲁棒性问题汇总3567[[#This Row],[Same_to_Different]]+触发鲁棒性问题汇总3567[[#This Row],[Different_to_Same]]</f>
        <v>2012</v>
      </c>
    </row>
    <row r="3" spans="1:9" x14ac:dyDescent="0.4">
      <c r="A3" s="35" t="s">
        <v>9</v>
      </c>
      <c r="B3" s="10" t="s">
        <v>10</v>
      </c>
      <c r="C3" s="10" t="s">
        <v>12</v>
      </c>
      <c r="D3" s="10">
        <v>2006</v>
      </c>
      <c r="E3" s="10">
        <v>79</v>
      </c>
      <c r="F3" s="10">
        <f>触发鲁棒性问题汇总3567[[#This Row],[all]]-触发鲁棒性问题汇总3567[[#This Row],[Different_to_Same]]-触发鲁棒性问题汇总3567[[#This Row],[Same_to_Different]]</f>
        <v>915</v>
      </c>
      <c r="G3" s="10">
        <v>3000</v>
      </c>
      <c r="H3" s="10">
        <v>1</v>
      </c>
      <c r="I3" s="10">
        <f>触发鲁棒性问题汇总3567[[#This Row],[Same_to_Different]]+触发鲁棒性问题汇总3567[[#This Row],[Different_to_Same]]</f>
        <v>2085</v>
      </c>
    </row>
    <row r="4" spans="1:9" x14ac:dyDescent="0.4">
      <c r="A4" s="18" t="s">
        <v>9</v>
      </c>
      <c r="B4" t="s">
        <v>10</v>
      </c>
      <c r="C4" t="s">
        <v>13</v>
      </c>
      <c r="D4">
        <v>1644</v>
      </c>
      <c r="E4">
        <v>4</v>
      </c>
      <c r="F4">
        <f>3000-触发鲁棒性问题汇总3567[[#This Row],[Different_to_Same]]-触发鲁棒性问题汇总3567[[#This Row],[Same_to_Different]]-51</f>
        <v>1301</v>
      </c>
      <c r="G4">
        <f>触发鲁棒性问题汇总3567[[#This Row],[Label_change]]+触发鲁棒性问题汇总3567[[#This Row],[Same_to_Different]]+触发鲁棒性问题汇总3567[[#This Row],[Different_to_Same]]</f>
        <v>2949</v>
      </c>
      <c r="H4">
        <f>触发鲁棒性问题汇总3567[[#This Row],[all]]/3000</f>
        <v>0.98299999999999998</v>
      </c>
      <c r="I4" s="17">
        <f>触发鲁棒性问题汇总3567[[#This Row],[Same_to_Different]]+触发鲁棒性问题汇总3567[[#This Row],[Different_to_Same]]</f>
        <v>1648</v>
      </c>
    </row>
    <row r="5" spans="1:9" x14ac:dyDescent="0.4">
      <c r="A5" s="27" t="s">
        <v>9</v>
      </c>
      <c r="B5" s="7" t="s">
        <v>10</v>
      </c>
      <c r="C5" s="7" t="s">
        <v>14</v>
      </c>
      <c r="D5" s="7">
        <v>1011</v>
      </c>
      <c r="E5" s="7">
        <v>4</v>
      </c>
      <c r="F5" s="7">
        <f>触发鲁棒性问题汇总3567[[#This Row],[all]]-触发鲁棒性问题汇总3567[[#This Row],[Different_to_Same]]-触发鲁棒性问题汇总3567[[#This Row],[Same_to_Different]]</f>
        <v>1985</v>
      </c>
      <c r="G5" s="7">
        <v>3000</v>
      </c>
      <c r="H5" s="7">
        <v>1</v>
      </c>
      <c r="I5" s="20">
        <f>触发鲁棒性问题汇总3567[[#This Row],[Same_to_Different]]+触发鲁棒性问题汇总3567[[#This Row],[Different_to_Same]]</f>
        <v>1015</v>
      </c>
    </row>
    <row r="6" spans="1:9" x14ac:dyDescent="0.4">
      <c r="A6" s="17" t="s">
        <v>9</v>
      </c>
      <c r="B6" s="17" t="s">
        <v>15</v>
      </c>
      <c r="C6" s="17" t="s">
        <v>16</v>
      </c>
      <c r="D6" s="17">
        <v>1481</v>
      </c>
      <c r="E6" s="17">
        <v>0</v>
      </c>
      <c r="F6" s="17">
        <f>触发鲁棒性问题汇总3567[[#This Row],[all]]-触发鲁棒性问题汇总3567[[#This Row],[Different_to_Same]]-触发鲁棒性问题汇总3567[[#This Row],[Same_to_Different]]</f>
        <v>1519</v>
      </c>
      <c r="G6" s="17">
        <v>3000</v>
      </c>
      <c r="H6" s="17">
        <v>1</v>
      </c>
      <c r="I6" s="17">
        <f>触发鲁棒性问题汇总3567[[#This Row],[Different_to_Same]]</f>
        <v>1481</v>
      </c>
    </row>
    <row r="7" spans="1:9" x14ac:dyDescent="0.4">
      <c r="A7" t="s">
        <v>17</v>
      </c>
      <c r="B7" t="s">
        <v>10</v>
      </c>
      <c r="C7" t="s">
        <v>16</v>
      </c>
      <c r="D7">
        <v>924</v>
      </c>
      <c r="E7">
        <v>0</v>
      </c>
      <c r="F7">
        <f>触发鲁棒性问题汇总3567[[#This Row],[all]]-触发鲁棒性问题汇总3567[[#This Row],[Different_to_Same]]-触发鲁棒性问题汇总3567[[#This Row],[Same_to_Different]]</f>
        <v>2076</v>
      </c>
      <c r="G7">
        <v>3000</v>
      </c>
      <c r="H7">
        <v>1</v>
      </c>
      <c r="I7">
        <f>触发鲁棒性问题汇总3567[[#This Row],[Different_to_Same]]</f>
        <v>924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979B-2FE7-4071-A617-6CA67F912756}">
  <sheetPr codeName="Sheet8"/>
  <dimension ref="A1:B7"/>
  <sheetViews>
    <sheetView workbookViewId="0">
      <selection activeCell="C25" sqref="C25"/>
    </sheetView>
  </sheetViews>
  <sheetFormatPr defaultRowHeight="13.9" x14ac:dyDescent="0.4"/>
  <sheetData>
    <row r="1" spans="1:2" x14ac:dyDescent="0.4">
      <c r="B1" t="s">
        <v>26</v>
      </c>
    </row>
    <row r="2" spans="1:2" x14ac:dyDescent="0.4">
      <c r="A2" t="s">
        <v>20</v>
      </c>
      <c r="B2" s="30">
        <v>1.333</v>
      </c>
    </row>
    <row r="3" spans="1:2" x14ac:dyDescent="0.4">
      <c r="A3" t="s">
        <v>21</v>
      </c>
      <c r="B3" s="30">
        <v>0.33300000000000002</v>
      </c>
    </row>
    <row r="4" spans="1:2" x14ac:dyDescent="0.4">
      <c r="A4" s="9" t="s">
        <v>22</v>
      </c>
      <c r="B4" s="36">
        <v>3</v>
      </c>
    </row>
    <row r="5" spans="1:2" x14ac:dyDescent="0.4">
      <c r="A5" t="s">
        <v>23</v>
      </c>
      <c r="B5" s="30">
        <v>1.333</v>
      </c>
    </row>
    <row r="6" spans="1:2" x14ac:dyDescent="0.4">
      <c r="A6" t="s">
        <v>24</v>
      </c>
      <c r="B6" s="30">
        <v>0</v>
      </c>
    </row>
    <row r="7" spans="1:2" x14ac:dyDescent="0.4">
      <c r="A7" t="s">
        <v>25</v>
      </c>
      <c r="B7" s="30">
        <v>1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091F-C324-4EA4-AC5F-839CD76EF315}">
  <dimension ref="A1:J43"/>
  <sheetViews>
    <sheetView tabSelected="1" zoomScale="70" zoomScaleNormal="70" workbookViewId="0">
      <selection activeCell="D20" sqref="D20"/>
    </sheetView>
  </sheetViews>
  <sheetFormatPr defaultRowHeight="13.9" x14ac:dyDescent="0.4"/>
  <cols>
    <col min="1" max="1" width="23.265625" bestFit="1" customWidth="1"/>
    <col min="2" max="2" width="33.53125" bestFit="1" customWidth="1"/>
    <col min="3" max="3" width="29" bestFit="1" customWidth="1"/>
    <col min="4" max="4" width="80.53125" bestFit="1" customWidth="1"/>
    <col min="5" max="6" width="19.73046875" bestFit="1" customWidth="1"/>
    <col min="7" max="7" width="15.19921875" bestFit="1" customWidth="1"/>
    <col min="8" max="8" width="5.33203125" bestFit="1" customWidth="1"/>
    <col min="9" max="9" width="12.19921875" bestFit="1" customWidth="1"/>
    <col min="10" max="10" width="14.796875" bestFit="1" customWidth="1"/>
  </cols>
  <sheetData>
    <row r="1" spans="1:10" x14ac:dyDescent="0.4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">
      <c r="A2" s="37" t="s">
        <v>27</v>
      </c>
      <c r="B2" s="37" t="s">
        <v>9</v>
      </c>
      <c r="C2" s="37" t="s">
        <v>10</v>
      </c>
      <c r="D2" s="37" t="s">
        <v>11</v>
      </c>
      <c r="E2">
        <v>1933</v>
      </c>
      <c r="F2">
        <v>0</v>
      </c>
      <c r="G2">
        <v>1067</v>
      </c>
      <c r="H2">
        <v>3000</v>
      </c>
      <c r="I2">
        <v>1</v>
      </c>
      <c r="J2">
        <v>1933</v>
      </c>
    </row>
    <row r="3" spans="1:10" x14ac:dyDescent="0.4">
      <c r="A3" s="37" t="s">
        <v>27</v>
      </c>
      <c r="B3" s="37" t="s">
        <v>9</v>
      </c>
      <c r="C3" s="37" t="s">
        <v>10</v>
      </c>
      <c r="D3" s="37" t="s">
        <v>12</v>
      </c>
      <c r="E3">
        <v>2840</v>
      </c>
      <c r="F3">
        <v>5</v>
      </c>
      <c r="G3">
        <v>155</v>
      </c>
      <c r="H3">
        <v>3000</v>
      </c>
      <c r="I3">
        <v>1</v>
      </c>
      <c r="J3">
        <v>2845</v>
      </c>
    </row>
    <row r="4" spans="1:10" x14ac:dyDescent="0.4">
      <c r="A4" s="37" t="s">
        <v>27</v>
      </c>
      <c r="B4" s="37" t="s">
        <v>9</v>
      </c>
      <c r="C4" s="37" t="s">
        <v>10</v>
      </c>
      <c r="D4" s="37" t="s">
        <v>13</v>
      </c>
      <c r="E4">
        <v>2601</v>
      </c>
      <c r="F4">
        <v>0</v>
      </c>
      <c r="G4">
        <v>399</v>
      </c>
      <c r="H4">
        <v>3000</v>
      </c>
      <c r="I4">
        <v>1</v>
      </c>
      <c r="J4">
        <v>2601</v>
      </c>
    </row>
    <row r="5" spans="1:10" x14ac:dyDescent="0.4">
      <c r="A5" s="37" t="s">
        <v>27</v>
      </c>
      <c r="B5" s="37" t="s">
        <v>9</v>
      </c>
      <c r="C5" s="37" t="s">
        <v>10</v>
      </c>
      <c r="D5" s="37" t="s">
        <v>14</v>
      </c>
      <c r="E5">
        <v>2689</v>
      </c>
      <c r="F5">
        <v>29</v>
      </c>
      <c r="G5">
        <v>282</v>
      </c>
      <c r="H5">
        <v>3000</v>
      </c>
      <c r="I5">
        <v>1</v>
      </c>
      <c r="J5">
        <v>2718</v>
      </c>
    </row>
    <row r="6" spans="1:10" x14ac:dyDescent="0.4">
      <c r="A6" s="37" t="s">
        <v>27</v>
      </c>
      <c r="B6" s="37" t="s">
        <v>9</v>
      </c>
      <c r="C6" s="37" t="s">
        <v>15</v>
      </c>
      <c r="D6" s="37" t="s">
        <v>16</v>
      </c>
      <c r="E6">
        <v>2840</v>
      </c>
      <c r="F6">
        <v>6</v>
      </c>
      <c r="G6">
        <v>103</v>
      </c>
      <c r="H6">
        <v>2949</v>
      </c>
      <c r="I6">
        <v>0.98299999999999998</v>
      </c>
      <c r="J6">
        <v>2846</v>
      </c>
    </row>
    <row r="7" spans="1:10" x14ac:dyDescent="0.4">
      <c r="A7" s="37" t="s">
        <v>27</v>
      </c>
      <c r="B7" s="37" t="s">
        <v>17</v>
      </c>
      <c r="C7" s="37" t="s">
        <v>10</v>
      </c>
      <c r="D7" s="37" t="s">
        <v>16</v>
      </c>
      <c r="E7">
        <v>1983</v>
      </c>
      <c r="F7">
        <v>160</v>
      </c>
      <c r="G7">
        <v>857</v>
      </c>
      <c r="H7">
        <v>3000</v>
      </c>
      <c r="I7">
        <v>1</v>
      </c>
      <c r="J7">
        <v>2143</v>
      </c>
    </row>
    <row r="8" spans="1:10" x14ac:dyDescent="0.4">
      <c r="A8" s="37" t="s">
        <v>28</v>
      </c>
      <c r="B8" s="37" t="s">
        <v>9</v>
      </c>
      <c r="C8" s="37" t="s">
        <v>10</v>
      </c>
      <c r="D8" s="37" t="s">
        <v>11</v>
      </c>
      <c r="E8">
        <v>2076</v>
      </c>
      <c r="F8">
        <v>53</v>
      </c>
      <c r="G8">
        <v>871</v>
      </c>
      <c r="H8">
        <v>3000</v>
      </c>
      <c r="I8">
        <v>1</v>
      </c>
      <c r="J8">
        <v>2129</v>
      </c>
    </row>
    <row r="9" spans="1:10" x14ac:dyDescent="0.4">
      <c r="A9" s="37" t="s">
        <v>28</v>
      </c>
      <c r="B9" s="37" t="s">
        <v>9</v>
      </c>
      <c r="C9" s="37" t="s">
        <v>10</v>
      </c>
      <c r="D9" s="37" t="s">
        <v>12</v>
      </c>
      <c r="E9">
        <v>2075</v>
      </c>
      <c r="F9">
        <v>35</v>
      </c>
      <c r="G9">
        <v>890</v>
      </c>
      <c r="H9">
        <v>3000</v>
      </c>
      <c r="I9">
        <v>1</v>
      </c>
      <c r="J9">
        <v>2110</v>
      </c>
    </row>
    <row r="10" spans="1:10" x14ac:dyDescent="0.4">
      <c r="A10" s="37" t="s">
        <v>28</v>
      </c>
      <c r="B10" s="37" t="s">
        <v>9</v>
      </c>
      <c r="C10" s="37" t="s">
        <v>10</v>
      </c>
      <c r="D10" s="37" t="s">
        <v>13</v>
      </c>
      <c r="E10">
        <v>2076</v>
      </c>
      <c r="F10">
        <v>0</v>
      </c>
      <c r="G10">
        <v>924</v>
      </c>
      <c r="H10">
        <v>3000</v>
      </c>
      <c r="I10">
        <v>1</v>
      </c>
      <c r="J10">
        <v>2076</v>
      </c>
    </row>
    <row r="11" spans="1:10" x14ac:dyDescent="0.4">
      <c r="A11" s="37" t="s">
        <v>28</v>
      </c>
      <c r="B11" s="37" t="s">
        <v>9</v>
      </c>
      <c r="C11" s="37" t="s">
        <v>10</v>
      </c>
      <c r="D11" s="37" t="s">
        <v>14</v>
      </c>
      <c r="E11">
        <v>1750</v>
      </c>
      <c r="F11">
        <v>20</v>
      </c>
      <c r="G11">
        <v>1230</v>
      </c>
      <c r="H11">
        <v>3000</v>
      </c>
      <c r="I11">
        <v>1</v>
      </c>
      <c r="J11">
        <v>1770</v>
      </c>
    </row>
    <row r="12" spans="1:10" x14ac:dyDescent="0.4">
      <c r="A12" s="37" t="s">
        <v>28</v>
      </c>
      <c r="B12" s="37" t="s">
        <v>9</v>
      </c>
      <c r="C12" s="37" t="s">
        <v>15</v>
      </c>
      <c r="D12" s="37" t="s">
        <v>16</v>
      </c>
      <c r="E12">
        <v>1567</v>
      </c>
      <c r="F12">
        <v>19</v>
      </c>
      <c r="G12">
        <v>1405</v>
      </c>
      <c r="H12">
        <v>2991</v>
      </c>
      <c r="I12">
        <v>0.997</v>
      </c>
      <c r="J12">
        <v>1586</v>
      </c>
    </row>
    <row r="13" spans="1:10" x14ac:dyDescent="0.4">
      <c r="A13" s="37" t="s">
        <v>28</v>
      </c>
      <c r="B13" s="37" t="s">
        <v>17</v>
      </c>
      <c r="C13" s="37" t="s">
        <v>10</v>
      </c>
      <c r="D13" s="37" t="s">
        <v>16</v>
      </c>
      <c r="E13">
        <v>1554</v>
      </c>
      <c r="F13">
        <v>39</v>
      </c>
      <c r="G13">
        <v>1407</v>
      </c>
      <c r="H13">
        <v>3000</v>
      </c>
      <c r="I13">
        <v>1</v>
      </c>
      <c r="J13">
        <v>1593</v>
      </c>
    </row>
    <row r="14" spans="1:10" x14ac:dyDescent="0.4">
      <c r="A14" s="37" t="s">
        <v>29</v>
      </c>
      <c r="B14" s="37" t="s">
        <v>9</v>
      </c>
      <c r="C14" s="37" t="s">
        <v>10</v>
      </c>
      <c r="D14" s="37" t="s">
        <v>11</v>
      </c>
      <c r="E14">
        <v>2512</v>
      </c>
      <c r="F14">
        <v>31</v>
      </c>
      <c r="G14">
        <v>457</v>
      </c>
      <c r="H14">
        <v>3000</v>
      </c>
      <c r="I14">
        <v>1</v>
      </c>
      <c r="J14">
        <v>2543</v>
      </c>
    </row>
    <row r="15" spans="1:10" x14ac:dyDescent="0.4">
      <c r="A15" s="37" t="s">
        <v>29</v>
      </c>
      <c r="B15" s="37" t="s">
        <v>9</v>
      </c>
      <c r="C15" s="37" t="s">
        <v>10</v>
      </c>
      <c r="D15" s="37" t="s">
        <v>12</v>
      </c>
      <c r="E15">
        <v>2494</v>
      </c>
      <c r="F15">
        <v>42</v>
      </c>
      <c r="G15">
        <v>464</v>
      </c>
      <c r="H15">
        <v>3000</v>
      </c>
      <c r="I15">
        <v>1</v>
      </c>
      <c r="J15">
        <v>2536</v>
      </c>
    </row>
    <row r="16" spans="1:10" x14ac:dyDescent="0.4">
      <c r="A16" s="37" t="s">
        <v>29</v>
      </c>
      <c r="B16" s="37" t="s">
        <v>9</v>
      </c>
      <c r="C16" s="37" t="s">
        <v>10</v>
      </c>
      <c r="D16" s="37" t="s">
        <v>13</v>
      </c>
      <c r="E16">
        <v>972</v>
      </c>
      <c r="F16">
        <v>12</v>
      </c>
      <c r="G16">
        <v>2016</v>
      </c>
      <c r="H16">
        <v>3000</v>
      </c>
      <c r="I16">
        <v>1</v>
      </c>
      <c r="J16">
        <v>984</v>
      </c>
    </row>
    <row r="17" spans="1:10" x14ac:dyDescent="0.4">
      <c r="A17" s="37" t="s">
        <v>29</v>
      </c>
      <c r="B17" s="37" t="s">
        <v>9</v>
      </c>
      <c r="C17" s="37" t="s">
        <v>10</v>
      </c>
      <c r="D17" s="37" t="s">
        <v>14</v>
      </c>
      <c r="E17">
        <v>1563</v>
      </c>
      <c r="F17">
        <v>107</v>
      </c>
      <c r="G17">
        <v>1330</v>
      </c>
      <c r="H17">
        <v>3000</v>
      </c>
      <c r="I17">
        <v>1</v>
      </c>
      <c r="J17">
        <v>1670</v>
      </c>
    </row>
    <row r="18" spans="1:10" x14ac:dyDescent="0.4">
      <c r="A18" s="37" t="s">
        <v>29</v>
      </c>
      <c r="B18" s="37" t="s">
        <v>9</v>
      </c>
      <c r="C18" s="37" t="s">
        <v>15</v>
      </c>
      <c r="D18" s="37" t="s">
        <v>16</v>
      </c>
      <c r="E18">
        <v>2101</v>
      </c>
      <c r="F18">
        <v>86</v>
      </c>
      <c r="G18">
        <v>813</v>
      </c>
      <c r="H18">
        <v>3000</v>
      </c>
      <c r="I18">
        <v>1</v>
      </c>
      <c r="J18">
        <v>2187</v>
      </c>
    </row>
    <row r="19" spans="1:10" x14ac:dyDescent="0.4">
      <c r="A19" s="37" t="s">
        <v>29</v>
      </c>
      <c r="B19" s="37" t="s">
        <v>17</v>
      </c>
      <c r="C19" s="37" t="s">
        <v>10</v>
      </c>
      <c r="D19" s="37" t="s">
        <v>16</v>
      </c>
      <c r="E19">
        <v>1082</v>
      </c>
      <c r="F19">
        <v>54</v>
      </c>
      <c r="G19">
        <v>1864</v>
      </c>
      <c r="H19">
        <v>3000</v>
      </c>
      <c r="I19">
        <v>1</v>
      </c>
      <c r="J19">
        <v>1136</v>
      </c>
    </row>
    <row r="20" spans="1:10" x14ac:dyDescent="0.4">
      <c r="A20" s="37" t="s">
        <v>30</v>
      </c>
      <c r="B20" s="37" t="s">
        <v>9</v>
      </c>
      <c r="C20" s="37" t="s">
        <v>10</v>
      </c>
      <c r="D20" s="37" t="s">
        <v>11</v>
      </c>
      <c r="E20">
        <v>790</v>
      </c>
      <c r="F20">
        <v>0</v>
      </c>
      <c r="G20">
        <v>2210</v>
      </c>
      <c r="H20">
        <v>3000</v>
      </c>
      <c r="I20">
        <v>1</v>
      </c>
      <c r="J20">
        <v>790</v>
      </c>
    </row>
    <row r="21" spans="1:10" x14ac:dyDescent="0.4">
      <c r="A21" s="37" t="s">
        <v>30</v>
      </c>
      <c r="B21" s="37" t="s">
        <v>9</v>
      </c>
      <c r="C21" s="37" t="s">
        <v>10</v>
      </c>
      <c r="D21" s="37" t="s">
        <v>12</v>
      </c>
      <c r="E21">
        <v>1507</v>
      </c>
      <c r="F21">
        <v>57</v>
      </c>
      <c r="G21">
        <v>1436</v>
      </c>
      <c r="H21">
        <v>3000</v>
      </c>
      <c r="I21">
        <v>1</v>
      </c>
      <c r="J21">
        <v>1564</v>
      </c>
    </row>
    <row r="22" spans="1:10" x14ac:dyDescent="0.4">
      <c r="A22" s="37" t="s">
        <v>30</v>
      </c>
      <c r="B22" s="37" t="s">
        <v>9</v>
      </c>
      <c r="C22" s="37" t="s">
        <v>10</v>
      </c>
      <c r="D22" s="37" t="s">
        <v>13</v>
      </c>
      <c r="E22">
        <v>613</v>
      </c>
      <c r="F22">
        <v>51</v>
      </c>
      <c r="G22">
        <v>2336</v>
      </c>
      <c r="H22">
        <v>3000</v>
      </c>
      <c r="I22">
        <v>1</v>
      </c>
      <c r="J22">
        <v>664</v>
      </c>
    </row>
    <row r="23" spans="1:10" x14ac:dyDescent="0.4">
      <c r="A23" s="37" t="s">
        <v>30</v>
      </c>
      <c r="B23" s="37" t="s">
        <v>9</v>
      </c>
      <c r="C23" s="37" t="s">
        <v>10</v>
      </c>
      <c r="D23" s="37" t="s">
        <v>14</v>
      </c>
      <c r="E23">
        <v>1504</v>
      </c>
      <c r="F23">
        <v>88</v>
      </c>
      <c r="G23">
        <v>1408</v>
      </c>
      <c r="H23">
        <v>3000</v>
      </c>
      <c r="I23">
        <v>1</v>
      </c>
      <c r="J23">
        <v>1592</v>
      </c>
    </row>
    <row r="24" spans="1:10" x14ac:dyDescent="0.4">
      <c r="A24" s="37" t="s">
        <v>30</v>
      </c>
      <c r="B24" s="37" t="s">
        <v>9</v>
      </c>
      <c r="C24" s="37" t="s">
        <v>15</v>
      </c>
      <c r="D24" s="37" t="s">
        <v>16</v>
      </c>
      <c r="E24">
        <v>1325</v>
      </c>
      <c r="F24">
        <v>6</v>
      </c>
      <c r="G24">
        <v>1669</v>
      </c>
      <c r="H24">
        <v>3000</v>
      </c>
      <c r="I24">
        <v>1</v>
      </c>
      <c r="J24">
        <v>1331</v>
      </c>
    </row>
    <row r="25" spans="1:10" x14ac:dyDescent="0.4">
      <c r="A25" s="37" t="s">
        <v>30</v>
      </c>
      <c r="B25" s="37" t="s">
        <v>17</v>
      </c>
      <c r="C25" s="37" t="s">
        <v>10</v>
      </c>
      <c r="D25" s="37" t="s">
        <v>16</v>
      </c>
      <c r="E25">
        <v>1430</v>
      </c>
      <c r="F25">
        <v>25</v>
      </c>
      <c r="G25">
        <v>1545</v>
      </c>
      <c r="H25">
        <v>3000</v>
      </c>
      <c r="I25">
        <v>1</v>
      </c>
      <c r="J25">
        <v>1455</v>
      </c>
    </row>
    <row r="26" spans="1:10" x14ac:dyDescent="0.4">
      <c r="A26" s="37" t="s">
        <v>31</v>
      </c>
      <c r="B26" s="37" t="s">
        <v>9</v>
      </c>
      <c r="C26" s="37" t="s">
        <v>10</v>
      </c>
      <c r="D26" s="37" t="s">
        <v>11</v>
      </c>
      <c r="E26">
        <v>2657</v>
      </c>
      <c r="F26">
        <v>4</v>
      </c>
      <c r="G26">
        <v>337</v>
      </c>
      <c r="H26">
        <v>2998</v>
      </c>
      <c r="I26">
        <v>0.99933333300000005</v>
      </c>
      <c r="J26">
        <v>2661</v>
      </c>
    </row>
    <row r="27" spans="1:10" x14ac:dyDescent="0.4">
      <c r="A27" s="37" t="s">
        <v>31</v>
      </c>
      <c r="B27" s="37" t="s">
        <v>9</v>
      </c>
      <c r="C27" s="37" t="s">
        <v>10</v>
      </c>
      <c r="D27" s="37" t="s">
        <v>12</v>
      </c>
      <c r="E27">
        <v>2657</v>
      </c>
      <c r="F27">
        <v>0</v>
      </c>
      <c r="G27">
        <v>343</v>
      </c>
      <c r="H27">
        <v>3000</v>
      </c>
      <c r="I27">
        <v>1</v>
      </c>
      <c r="J27">
        <v>2657</v>
      </c>
    </row>
    <row r="28" spans="1:10" x14ac:dyDescent="0.4">
      <c r="A28" s="37" t="s">
        <v>31</v>
      </c>
      <c r="B28" s="37" t="s">
        <v>9</v>
      </c>
      <c r="C28" s="37" t="s">
        <v>10</v>
      </c>
      <c r="D28" s="37" t="s">
        <v>13</v>
      </c>
      <c r="E28">
        <v>2657</v>
      </c>
      <c r="F28">
        <v>0</v>
      </c>
      <c r="G28">
        <v>343</v>
      </c>
      <c r="H28">
        <v>3000</v>
      </c>
      <c r="I28">
        <v>1</v>
      </c>
      <c r="J28">
        <v>2657</v>
      </c>
    </row>
    <row r="29" spans="1:10" x14ac:dyDescent="0.4">
      <c r="A29" s="37" t="s">
        <v>31</v>
      </c>
      <c r="B29" s="37" t="s">
        <v>9</v>
      </c>
      <c r="C29" s="37" t="s">
        <v>10</v>
      </c>
      <c r="D29" s="37" t="s">
        <v>14</v>
      </c>
      <c r="E29">
        <v>2657</v>
      </c>
      <c r="F29">
        <v>0</v>
      </c>
      <c r="G29">
        <v>343</v>
      </c>
      <c r="H29">
        <v>3000</v>
      </c>
      <c r="I29">
        <v>1</v>
      </c>
      <c r="J29">
        <v>2657</v>
      </c>
    </row>
    <row r="30" spans="1:10" x14ac:dyDescent="0.4">
      <c r="A30" s="37" t="s">
        <v>31</v>
      </c>
      <c r="B30" s="37" t="s">
        <v>9</v>
      </c>
      <c r="C30" s="37" t="s">
        <v>15</v>
      </c>
      <c r="D30" s="37" t="s">
        <v>16</v>
      </c>
      <c r="E30">
        <v>2657</v>
      </c>
      <c r="F30">
        <v>0</v>
      </c>
      <c r="G30">
        <v>343</v>
      </c>
      <c r="H30">
        <v>3000</v>
      </c>
      <c r="I30">
        <v>1</v>
      </c>
      <c r="J30">
        <v>2657</v>
      </c>
    </row>
    <row r="31" spans="1:10" x14ac:dyDescent="0.4">
      <c r="A31" s="37" t="s">
        <v>31</v>
      </c>
      <c r="B31" s="37" t="s">
        <v>17</v>
      </c>
      <c r="C31" s="37" t="s">
        <v>10</v>
      </c>
      <c r="D31" s="37" t="s">
        <v>16</v>
      </c>
      <c r="E31">
        <v>2657</v>
      </c>
      <c r="F31">
        <v>0</v>
      </c>
      <c r="G31">
        <v>343</v>
      </c>
      <c r="H31">
        <v>3000</v>
      </c>
      <c r="I31">
        <v>1</v>
      </c>
      <c r="J31">
        <v>2657</v>
      </c>
    </row>
    <row r="32" spans="1:10" x14ac:dyDescent="0.4">
      <c r="A32" s="37" t="s">
        <v>32</v>
      </c>
      <c r="B32" s="37" t="s">
        <v>9</v>
      </c>
      <c r="C32" s="37" t="s">
        <v>10</v>
      </c>
      <c r="D32" s="37" t="s">
        <v>11</v>
      </c>
      <c r="E32">
        <v>2213</v>
      </c>
      <c r="F32">
        <v>0</v>
      </c>
      <c r="G32">
        <v>787</v>
      </c>
      <c r="H32">
        <v>3000</v>
      </c>
      <c r="I32">
        <v>1</v>
      </c>
      <c r="J32">
        <v>2213</v>
      </c>
    </row>
    <row r="33" spans="1:10" x14ac:dyDescent="0.4">
      <c r="A33" s="37" t="s">
        <v>32</v>
      </c>
      <c r="B33" s="37" t="s">
        <v>9</v>
      </c>
      <c r="C33" s="37" t="s">
        <v>10</v>
      </c>
      <c r="D33" s="37" t="s">
        <v>12</v>
      </c>
      <c r="E33">
        <v>2715</v>
      </c>
      <c r="F33">
        <v>0</v>
      </c>
      <c r="G33">
        <v>285</v>
      </c>
      <c r="H33">
        <v>3000</v>
      </c>
      <c r="I33">
        <v>1</v>
      </c>
      <c r="J33">
        <v>2715</v>
      </c>
    </row>
    <row r="34" spans="1:10" x14ac:dyDescent="0.4">
      <c r="A34" s="37" t="s">
        <v>32</v>
      </c>
      <c r="B34" s="37" t="s">
        <v>9</v>
      </c>
      <c r="C34" s="37" t="s">
        <v>10</v>
      </c>
      <c r="D34" s="37" t="s">
        <v>13</v>
      </c>
      <c r="E34">
        <v>1710</v>
      </c>
      <c r="F34">
        <v>0</v>
      </c>
      <c r="G34">
        <v>1290</v>
      </c>
      <c r="H34">
        <v>3000</v>
      </c>
      <c r="I34">
        <v>1</v>
      </c>
      <c r="J34">
        <v>1710</v>
      </c>
    </row>
    <row r="35" spans="1:10" x14ac:dyDescent="0.4">
      <c r="A35" s="37" t="s">
        <v>32</v>
      </c>
      <c r="B35" s="37" t="s">
        <v>9</v>
      </c>
      <c r="C35" s="37" t="s">
        <v>10</v>
      </c>
      <c r="D35" s="37" t="s">
        <v>14</v>
      </c>
      <c r="E35">
        <v>1814</v>
      </c>
      <c r="F35">
        <v>0</v>
      </c>
      <c r="G35">
        <v>1186</v>
      </c>
      <c r="H35">
        <v>3000</v>
      </c>
      <c r="I35">
        <v>1</v>
      </c>
      <c r="J35">
        <v>1814</v>
      </c>
    </row>
    <row r="36" spans="1:10" x14ac:dyDescent="0.4">
      <c r="A36" s="37" t="s">
        <v>32</v>
      </c>
      <c r="B36" s="37" t="s">
        <v>9</v>
      </c>
      <c r="C36" s="37" t="s">
        <v>15</v>
      </c>
      <c r="D36" s="37" t="s">
        <v>16</v>
      </c>
      <c r="E36">
        <v>2715</v>
      </c>
      <c r="F36">
        <v>0</v>
      </c>
      <c r="G36">
        <v>285</v>
      </c>
      <c r="H36">
        <v>3000</v>
      </c>
      <c r="I36">
        <v>1</v>
      </c>
      <c r="J36">
        <v>2715</v>
      </c>
    </row>
    <row r="37" spans="1:10" x14ac:dyDescent="0.4">
      <c r="A37" s="37" t="s">
        <v>32</v>
      </c>
      <c r="B37" s="37" t="s">
        <v>17</v>
      </c>
      <c r="C37" s="37" t="s">
        <v>10</v>
      </c>
      <c r="D37" s="37" t="s">
        <v>16</v>
      </c>
      <c r="E37">
        <v>2715</v>
      </c>
      <c r="F37">
        <v>0</v>
      </c>
      <c r="G37">
        <v>285</v>
      </c>
      <c r="H37">
        <v>3000</v>
      </c>
      <c r="I37">
        <v>1</v>
      </c>
      <c r="J37">
        <v>2715</v>
      </c>
    </row>
    <row r="38" spans="1:10" x14ac:dyDescent="0.4">
      <c r="A38" s="37" t="s">
        <v>33</v>
      </c>
      <c r="B38" s="37" t="s">
        <v>9</v>
      </c>
      <c r="C38" s="37" t="s">
        <v>10</v>
      </c>
      <c r="D38" s="37" t="s">
        <v>11</v>
      </c>
      <c r="E38">
        <v>1998</v>
      </c>
      <c r="F38">
        <v>14</v>
      </c>
      <c r="G38">
        <v>988</v>
      </c>
      <c r="H38">
        <v>3000</v>
      </c>
      <c r="I38">
        <v>1</v>
      </c>
      <c r="J38">
        <v>2012</v>
      </c>
    </row>
    <row r="39" spans="1:10" x14ac:dyDescent="0.4">
      <c r="A39" s="37" t="s">
        <v>33</v>
      </c>
      <c r="B39" s="37" t="s">
        <v>9</v>
      </c>
      <c r="C39" s="37" t="s">
        <v>10</v>
      </c>
      <c r="D39" s="37" t="s">
        <v>12</v>
      </c>
      <c r="E39">
        <v>2006</v>
      </c>
      <c r="F39">
        <v>79</v>
      </c>
      <c r="G39">
        <v>915</v>
      </c>
      <c r="H39">
        <v>3000</v>
      </c>
      <c r="I39">
        <v>1</v>
      </c>
      <c r="J39">
        <v>2085</v>
      </c>
    </row>
    <row r="40" spans="1:10" x14ac:dyDescent="0.4">
      <c r="A40" s="37" t="s">
        <v>33</v>
      </c>
      <c r="B40" s="37" t="s">
        <v>9</v>
      </c>
      <c r="C40" s="37" t="s">
        <v>10</v>
      </c>
      <c r="D40" s="37" t="s">
        <v>13</v>
      </c>
      <c r="E40">
        <v>1644</v>
      </c>
      <c r="F40">
        <v>4</v>
      </c>
      <c r="G40">
        <v>1301</v>
      </c>
      <c r="H40">
        <v>2949</v>
      </c>
      <c r="I40">
        <v>0.98299999999999998</v>
      </c>
      <c r="J40">
        <v>1648</v>
      </c>
    </row>
    <row r="41" spans="1:10" x14ac:dyDescent="0.4">
      <c r="A41" s="37" t="s">
        <v>33</v>
      </c>
      <c r="B41" s="37" t="s">
        <v>9</v>
      </c>
      <c r="C41" s="37" t="s">
        <v>10</v>
      </c>
      <c r="D41" s="37" t="s">
        <v>14</v>
      </c>
      <c r="E41">
        <v>1011</v>
      </c>
      <c r="F41">
        <v>4</v>
      </c>
      <c r="G41">
        <v>1985</v>
      </c>
      <c r="H41">
        <v>3000</v>
      </c>
      <c r="I41">
        <v>1</v>
      </c>
      <c r="J41">
        <v>1015</v>
      </c>
    </row>
    <row r="42" spans="1:10" x14ac:dyDescent="0.4">
      <c r="A42" s="37" t="s">
        <v>33</v>
      </c>
      <c r="B42" s="37" t="s">
        <v>9</v>
      </c>
      <c r="C42" s="37" t="s">
        <v>15</v>
      </c>
      <c r="D42" s="37" t="s">
        <v>16</v>
      </c>
      <c r="E42">
        <v>1481</v>
      </c>
      <c r="F42">
        <v>0</v>
      </c>
      <c r="G42">
        <v>1519</v>
      </c>
      <c r="H42">
        <v>3000</v>
      </c>
      <c r="I42">
        <v>1</v>
      </c>
      <c r="J42">
        <v>1481</v>
      </c>
    </row>
    <row r="43" spans="1:10" x14ac:dyDescent="0.4">
      <c r="A43" s="37" t="s">
        <v>33</v>
      </c>
      <c r="B43" s="37" t="s">
        <v>17</v>
      </c>
      <c r="C43" s="37" t="s">
        <v>10</v>
      </c>
      <c r="D43" s="37" t="s">
        <v>16</v>
      </c>
      <c r="E43">
        <v>924</v>
      </c>
      <c r="F43">
        <v>0</v>
      </c>
      <c r="G43">
        <v>2076</v>
      </c>
      <c r="H43">
        <v>3000</v>
      </c>
      <c r="I43">
        <v>1</v>
      </c>
      <c r="J43">
        <v>924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ED5ABF-9622-42C6-AAD0-331141C4A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TorchAlexNetCIFAR10</vt:lpstr>
      <vt:lpstr>TorchLeNet5</vt:lpstr>
      <vt:lpstr>TorchVGG16</vt:lpstr>
      <vt:lpstr>TorchLeNet5Fashion</vt:lpstr>
      <vt:lpstr>TorchResNet50</vt:lpstr>
      <vt:lpstr>TorchDenseNet</vt:lpstr>
      <vt:lpstr>TorchXception</vt:lpstr>
      <vt:lpstr>比较</vt:lpstr>
      <vt:lpstr>新建文件夹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MAI</dc:creator>
  <cp:lastModifiedBy>. MAI</cp:lastModifiedBy>
  <dcterms:created xsi:type="dcterms:W3CDTF">2025-10-26T06:07:08Z</dcterms:created>
  <dcterms:modified xsi:type="dcterms:W3CDTF">2025-10-27T15:31:39Z</dcterms:modified>
</cp:coreProperties>
</file>